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Model" sheetId="2" state="visible" r:id="rId4"/>
    <sheet name="Structure" sheetId="3" state="visible" r:id="rId5"/>
    <sheet name="Lists" sheetId="4" state="hidden" r:id="rId6"/>
  </sheet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H4" authorId="0">
      <text>
        <r>
          <rPr>
            <sz val="10"/>
            <rFont val="Arial"/>
            <family val="2"/>
          </rPr>
          <t xml:space="preserve">Whole units. Quantities above 1 become that many instances.</t>
        </r>
      </text>
    </comment>
    <comment ref="K4" authorId="0">
      <text>
        <r>
          <rPr>
            <sz val="10"/>
            <rFont val="Arial"/>
            <family val="2"/>
          </rPr>
          <t xml:space="preserve">Physical ID of an existing Manufacturing Item; only when Item source = Existing.</t>
        </r>
      </text>
    </comment>
  </commentList>
</comments>
</file>

<file path=xl/sharedStrings.xml><?xml version="1.0" encoding="utf-8"?>
<sst xmlns="http://schemas.openxmlformats.org/spreadsheetml/2006/main" count="124" uniqueCount="99">
  <si>
    <t xml:space="preserve">Configured MBOM input template</t>
  </si>
  <si>
    <t xml:space="preserve">One workbook per configured product. Built by the Configured MBOM Builder (preview first, then build).</t>
  </si>
  <si>
    <t xml:space="preserve">How it is used</t>
  </si>
  <si>
    <t xml:space="preserve">Ask Claude to preview the workbook. The preview lists exactly what will be created and any problems. Build only when the preview is clean.</t>
  </si>
  <si>
    <t xml:space="preserve">Yellow cells</t>
  </si>
  <si>
    <t xml:space="preserve">Input. Grey cells are calculated; do not type in them.</t>
  </si>
  <si>
    <t xml:space="preserve">Model tab</t>
  </si>
  <si>
    <t xml:space="preserve">Model version title and revision, the item the model is attached to (usually the top item), the configured item (whose direct children vary), the variant name, and one row per variant value. Row 12 is the first X column (L) on the Structure tab, row 13 the second (M), and so on.</t>
  </si>
  <si>
    <t xml:space="preserve">Structure tab</t>
  </si>
  <si>
    <t xml:space="preserve">One row per BOM line, top-down. Level 0 is the top item. A line's parent is the closest row above it with a lower level.</t>
  </si>
  <si>
    <t xml:space="preserve">Title / Part number</t>
  </si>
  <si>
    <t xml:space="preserve">Title is what the Manufacturing Item is called in 3DEXPERIENCE. Part number is for reference (often the same).</t>
  </si>
  <si>
    <t xml:space="preserve">Type</t>
  </si>
  <si>
    <t xml:space="preserve">CreateAssembly for anything with children, Provide for purchased or leaf parts.</t>
  </si>
  <si>
    <t xml:space="preserve">Qty</t>
  </si>
  <si>
    <t xml:space="preserve">Whole units. Quantities above 1 become that many instances. For consumables use 1 and write 'As required' in Qty note.</t>
  </si>
  <si>
    <t xml:space="preserve">Item source</t>
  </si>
  <si>
    <t xml:space="preserve">New creates the item. Existing reuses an item already in 3DEXPERIENCE: put its physical ID in Existing ID.</t>
  </si>
  <si>
    <t xml:space="preserve">Variant X columns</t>
  </si>
  <si>
    <t xml:space="preserve">Only on direct children of the configured item. X under every value the line belongs to. X in every column means a common part (no effectivity).</t>
  </si>
  <si>
    <t xml:space="preserve">Effectivity / Check</t>
  </si>
  <si>
    <t xml:space="preserve">Effectivity shows what will be applied (ALL, or the values). Check must say OK on every row.</t>
  </si>
  <si>
    <t xml:space="preserve">Rerunning</t>
  </si>
  <si>
    <t xml:space="preserve">A model version title that already exists stops the build, so a workbook cannot be built twice by accident. Change the title to build again.</t>
  </si>
  <si>
    <t xml:space="preserve">Legend</t>
  </si>
  <si>
    <t xml:space="preserve">Input</t>
  </si>
  <si>
    <t xml:space="preserve">Calculated</t>
  </si>
  <si>
    <t xml:space="preserve">Model and variants</t>
  </si>
  <si>
    <t xml:space="preserve">Model version title</t>
  </si>
  <si>
    <t xml:space="preserve">CMB Mini Test</t>
  </si>
  <si>
    <t xml:space="preserve">Portfolio model version to create. Must not exist yet.</t>
  </si>
  <si>
    <t xml:space="preserve">Model version revision</t>
  </si>
  <si>
    <t xml:space="preserve">A</t>
  </si>
  <si>
    <t xml:space="preserve">Attach model to item</t>
  </si>
  <si>
    <t xml:space="preserve">CMB-TEST-TOP</t>
  </si>
  <si>
    <t xml:space="preserve">Title of the item the model is attached to (usually the level-0 item). Every assembly down to the configured item gets it too.</t>
  </si>
  <si>
    <t xml:space="preserve">Configured item</t>
  </si>
  <si>
    <t xml:space="preserve">CMB-TEST-ASM</t>
  </si>
  <si>
    <t xml:space="preserve">Title of the item whose direct children carry variant effectivity.</t>
  </si>
  <si>
    <t xml:space="preserve">Variant name</t>
  </si>
  <si>
    <t xml:space="preserve">Test Option</t>
  </si>
  <si>
    <t xml:space="preserve">Portfolio variant to create.</t>
  </si>
  <si>
    <t xml:space="preserve">Configured item level</t>
  </si>
  <si>
    <t xml:space="preserve">Variant values</t>
  </si>
  <si>
    <t xml:space="preserve">X column</t>
  </si>
  <si>
    <t xml:space="preserve">Value (short name)</t>
  </si>
  <si>
    <t xml:space="preserve">Full part number</t>
  </si>
  <si>
    <t xml:space="preserve">Description</t>
  </si>
  <si>
    <t xml:space="preserve">Structure column L</t>
  </si>
  <si>
    <t xml:space="preserve">Option A</t>
  </si>
  <si>
    <t xml:space="preserve">Structure column M</t>
  </si>
  <si>
    <t xml:space="preserve">B</t>
  </si>
  <si>
    <t xml:space="preserve">Option B</t>
  </si>
  <si>
    <t xml:space="preserve">Structure column N</t>
  </si>
  <si>
    <t xml:space="preserve">Structure column O</t>
  </si>
  <si>
    <t xml:space="preserve">Structure column P</t>
  </si>
  <si>
    <t xml:space="preserve">Structure column Q</t>
  </si>
  <si>
    <t xml:space="preserve">Summary</t>
  </si>
  <si>
    <t xml:space="preserve">Value</t>
  </si>
  <si>
    <t xml:space="preserve">Lines in this variant</t>
  </si>
  <si>
    <t xml:space="preserve">Of which variant-specific</t>
  </si>
  <si>
    <t xml:space="preserve">Common lines (in every variant)</t>
  </si>
  <si>
    <t xml:space="preserve">Rows with a problem</t>
  </si>
  <si>
    <t xml:space="preserve">Must be 0 before building.</t>
  </si>
  <si>
    <t xml:space="preserve">MBOM structure</t>
  </si>
  <si>
    <t xml:space="preserve">One row per line, top-down. X marks only on direct children of the configured item (see Model tab).</t>
  </si>
  <si>
    <t xml:space="preserve">Variant values (X)</t>
  </si>
  <si>
    <t xml:space="preserve">Line</t>
  </si>
  <si>
    <t xml:space="preserve">Level</t>
  </si>
  <si>
    <t xml:space="preserve">Part number</t>
  </si>
  <si>
    <t xml:space="preserve">Title</t>
  </si>
  <si>
    <t xml:space="preserve">UOM</t>
  </si>
  <si>
    <t xml:space="preserve">Qty note</t>
  </si>
  <si>
    <t xml:space="preserve">Existing ID</t>
  </si>
  <si>
    <t xml:space="preserve">Effectivity</t>
  </si>
  <si>
    <t xml:space="preserve">Check</t>
  </si>
  <si>
    <t xml:space="preserve">Configured MBOM Builder test top</t>
  </si>
  <si>
    <t xml:space="preserve">CreateAssembly</t>
  </si>
  <si>
    <t xml:space="preserve">Each</t>
  </si>
  <si>
    <t xml:space="preserve">New</t>
  </si>
  <si>
    <t xml:space="preserve">Configured sub-assembly</t>
  </si>
  <si>
    <t xml:space="preserve">CMB-TEST-COMMON</t>
  </si>
  <si>
    <t xml:space="preserve">Common part</t>
  </si>
  <si>
    <t xml:space="preserve">Provide</t>
  </si>
  <si>
    <t xml:space="preserve">X</t>
  </si>
  <si>
    <t xml:space="preserve">CMB-TEST-A</t>
  </si>
  <si>
    <t xml:space="preserve">Only in A</t>
  </si>
  <si>
    <t xml:space="preserve">CMB-TEST-B</t>
  </si>
  <si>
    <t xml:space="preserve">Only in B</t>
  </si>
  <si>
    <t xml:space="preserve">Existing</t>
  </si>
  <si>
    <t xml:space="preserve">g</t>
  </si>
  <si>
    <t xml:space="preserve">CreateMaterial</t>
  </si>
  <si>
    <t xml:space="preserve">kg</t>
  </si>
  <si>
    <t xml:space="preserve">CreateKit</t>
  </si>
  <si>
    <t xml:space="preserve">mm</t>
  </si>
  <si>
    <t xml:space="preserve">m</t>
  </si>
  <si>
    <t xml:space="preserve">ml</t>
  </si>
  <si>
    <t xml:space="preserve">l</t>
  </si>
  <si>
    <t xml:space="preserve">in</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</si>
</sst>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6"/>
      <color rgb="FF0B3D6B"/>
      <name val="Arial"/>
      <family val="0"/>
      <charset val="1"/>
    </font>
    <font>
      <i val="true"/>
      <sz val="9"/>
      <color rgb="FF5A6878"/>
      <name val="Arial"/>
      <family val="0"/>
      <charset val="1"/>
    </font>
    <font>
      <b val="true"/>
      <sz val="10"/>
      <name val="Arial"/>
      <family val="0"/>
      <charset val="1"/>
    </font>
    <font>
      <sz val="10"/>
      <name val="Arial"/>
      <family val="0"/>
      <charset val="1"/>
    </font>
    <font>
      <b val="true"/>
      <sz val="14"/>
      <color rgb="FF0B3D6B"/>
      <name val="Arial"/>
      <family val="0"/>
      <charset val="1"/>
    </font>
    <font>
      <b val="true"/>
      <sz val="11"/>
      <color rgb="FF0B3D6B"/>
      <name val="Arial"/>
      <family val="0"/>
      <charset val="1"/>
    </font>
    <font>
      <b val="true"/>
      <sz val="10"/>
      <color rgb="FFFFFFFF"/>
      <name val="Arial"/>
      <family val="0"/>
      <charset val="1"/>
    </font>
    <font>
      <b val="true"/>
      <sz val="9"/>
      <color rgb="FF2E6DA4"/>
      <name val="Arial"/>
      <family val="0"/>
      <charset val="1"/>
    </font>
    <font>
      <sz val="10"/>
      <name val="Arial"/>
      <family val="2"/>
    </font>
  </fonts>
  <fills count="6">
    <fill>
      <patternFill patternType="none"/>
    </fill>
    <fill>
      <patternFill patternType="gray125"/>
    </fill>
    <fill>
      <patternFill patternType="solid">
        <fgColor rgb="FFFFF7D6"/>
        <bgColor rgb="FFEEF1F5"/>
      </patternFill>
    </fill>
    <fill>
      <patternFill patternType="solid">
        <fgColor rgb="FFEEF1F5"/>
        <bgColor rgb="FFFFF7D6"/>
      </patternFill>
    </fill>
    <fill>
      <patternFill patternType="solid">
        <fgColor rgb="FF0B3D6B"/>
        <bgColor rgb="FF333399"/>
      </patternFill>
    </fill>
    <fill>
      <patternFill patternType="solid">
        <fgColor rgb="FF2E6DA4"/>
        <bgColor rgb="FF5A6878"/>
      </patternFill>
    </fill>
  </fills>
  <borders count="2">
    <border diagonalUp="false" diagonalDown="false">
      <left/>
      <right/>
      <top/>
      <bottom/>
      <diagonal/>
    </border>
    <border diagonalUp="false" diagonalDown="false">
      <left style="thin">
        <color rgb="FFC9D3DE"/>
      </left>
      <right style="thin">
        <color rgb="FFC9D3DE"/>
      </right>
      <top style="thin">
        <color rgb="FFC9D3DE"/>
      </top>
      <bottom style="thin">
        <color rgb="FFC9D3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4"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left"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general" vertical="center" textRotation="0" wrapText="true" indent="0" shrinkToFit="false"/>
      <protection locked="true" hidden="false"/>
    </xf>
    <xf numFmtId="164" fontId="10" fillId="5" borderId="1" xfId="0" applyFont="true" applyBorder="true" applyAlignment="true" applyProtection="false">
      <alignment horizontal="center" vertical="bottom" textRotation="0" wrapText="fals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4" fontId="7" fillId="2" borderId="1" xfId="0" applyFont="true" applyBorder="true" applyAlignment="true" applyProtection="false">
      <alignment horizontal="general" vertical="top" textRotation="0" wrapText="false" indent="0" shrinkToFit="false"/>
      <protection locked="true" hidden="false"/>
    </xf>
    <xf numFmtId="164" fontId="6" fillId="2"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name val="Arial"/>
        <charset val="1"/>
        <family val="0"/>
        <b val="1"/>
        <color rgb="FF9C0006"/>
      </font>
      <fill>
        <patternFill>
          <bgColor rgb="FFF8D7DA"/>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FF7D6"/>
      <rgbColor rgb="FFEEF1F5"/>
      <rgbColor rgb="FF660066"/>
      <rgbColor rgb="FFFF8080"/>
      <rgbColor rgb="FF2E6DA4"/>
      <rgbColor rgb="FFC9D3D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D7DA"/>
      <rgbColor rgb="FF3366FF"/>
      <rgbColor rgb="FF33CCCC"/>
      <rgbColor rgb="FF99CC00"/>
      <rgbColor rgb="FFFFCC00"/>
      <rgbColor rgb="FFFF9900"/>
      <rgbColor rgb="FFFF6600"/>
      <rgbColor rgb="FF5A6878"/>
      <rgbColor rgb="FF969696"/>
      <rgbColor rgb="FF0B3D6B"/>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3" min="3" style="0" width="95"/>
  </cols>
  <sheetData>
    <row r="2" customFormat="false" ht="19.7" hidden="false" customHeight="false" outlineLevel="0" collapsed="false">
      <c r="B2" s="1" t="s">
        <v>0</v>
      </c>
    </row>
    <row r="3" customFormat="false" ht="15" hidden="false" customHeight="false" outlineLevel="0" collapsed="false">
      <c r="B3" s="2" t="s">
        <v>1</v>
      </c>
    </row>
    <row r="5" customFormat="false" ht="23.85" hidden="false" customHeight="false" outlineLevel="0" collapsed="false">
      <c r="B5" s="3" t="s">
        <v>2</v>
      </c>
      <c r="C5" s="4" t="s">
        <v>3</v>
      </c>
    </row>
    <row r="6" customFormat="false" ht="15" hidden="false" customHeight="false" outlineLevel="0" collapsed="false">
      <c r="B6" s="3" t="s">
        <v>4</v>
      </c>
      <c r="C6" s="4" t="s">
        <v>5</v>
      </c>
    </row>
    <row r="7" customFormat="false" ht="35.05" hidden="false" customHeight="false" outlineLevel="0" collapsed="false">
      <c r="B7" s="3" t="s">
        <v>6</v>
      </c>
      <c r="C7" s="4" t="s">
        <v>7</v>
      </c>
    </row>
    <row r="8" customFormat="false" ht="15" hidden="false" customHeight="false" outlineLevel="0" collapsed="false">
      <c r="B8" s="3" t="s">
        <v>8</v>
      </c>
      <c r="C8" s="4" t="s">
        <v>9</v>
      </c>
    </row>
    <row r="9" customFormat="false" ht="15" hidden="false" customHeight="false" outlineLevel="0" collapsed="false">
      <c r="B9" s="3" t="s">
        <v>10</v>
      </c>
      <c r="C9" s="4" t="s">
        <v>11</v>
      </c>
    </row>
    <row r="10" customFormat="false" ht="15" hidden="false" customHeight="false" outlineLevel="0" collapsed="false">
      <c r="B10" s="3" t="s">
        <v>12</v>
      </c>
      <c r="C10" s="4" t="s">
        <v>13</v>
      </c>
    </row>
    <row r="11" customFormat="false" ht="23.85" hidden="false" customHeight="false" outlineLevel="0" collapsed="false">
      <c r="B11" s="3" t="s">
        <v>14</v>
      </c>
      <c r="C11" s="4" t="s">
        <v>15</v>
      </c>
    </row>
    <row r="12" customFormat="false" ht="15" hidden="false" customHeight="false" outlineLevel="0" collapsed="false">
      <c r="B12" s="3" t="s">
        <v>16</v>
      </c>
      <c r="C12" s="4" t="s">
        <v>17</v>
      </c>
    </row>
    <row r="13" customFormat="false" ht="23.85" hidden="false" customHeight="false" outlineLevel="0" collapsed="false">
      <c r="B13" s="3" t="s">
        <v>18</v>
      </c>
      <c r="C13" s="4" t="s">
        <v>19</v>
      </c>
    </row>
    <row r="14" customFormat="false" ht="15" hidden="false" customHeight="false" outlineLevel="0" collapsed="false">
      <c r="B14" s="3" t="s">
        <v>20</v>
      </c>
      <c r="C14" s="4" t="s">
        <v>21</v>
      </c>
    </row>
    <row r="15" customFormat="false" ht="23.85" hidden="false" customHeight="false" outlineLevel="0" collapsed="false">
      <c r="B15" s="3" t="s">
        <v>22</v>
      </c>
      <c r="C15" s="4" t="s">
        <v>23</v>
      </c>
    </row>
    <row r="17" customFormat="false" ht="15" hidden="false" customHeight="false" outlineLevel="0" collapsed="false">
      <c r="B17" s="3" t="s">
        <v>24</v>
      </c>
    </row>
    <row r="18" customFormat="false" ht="15" hidden="false" customHeight="false" outlineLevel="0" collapsed="false">
      <c r="B18" s="5" t="s">
        <v>25</v>
      </c>
    </row>
    <row r="19" customFormat="false" ht="15" hidden="false" customHeight="false" outlineLevel="0" collapsed="false">
      <c r="B19" s="6" t="s">
        <v>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2"/>
    <col collapsed="false" customWidth="true" hidden="false" outlineLevel="0" max="3" min="3" style="0" width="24"/>
    <col collapsed="false" customWidth="true" hidden="false" outlineLevel="0" max="4" min="4" style="0" width="70"/>
  </cols>
  <sheetData>
    <row r="1" customFormat="false" ht="17.35" hidden="false" customHeight="false" outlineLevel="0" collapsed="false">
      <c r="A1" s="7" t="s">
        <v>27</v>
      </c>
    </row>
    <row r="3" customFormat="false" ht="15" hidden="false" customHeight="false" outlineLevel="0" collapsed="false">
      <c r="A3" s="3" t="s">
        <v>28</v>
      </c>
      <c r="B3" s="5" t="s">
        <v>29</v>
      </c>
      <c r="C3" s="8" t="s">
        <v>30</v>
      </c>
      <c r="D3" s="8"/>
    </row>
    <row r="4" customFormat="false" ht="15" hidden="false" customHeight="false" outlineLevel="0" collapsed="false">
      <c r="A4" s="3" t="s">
        <v>31</v>
      </c>
      <c r="B4" s="5" t="s">
        <v>32</v>
      </c>
      <c r="C4" s="8"/>
      <c r="D4" s="8"/>
    </row>
    <row r="5" customFormat="false" ht="15" hidden="false" customHeight="false" outlineLevel="0" collapsed="false">
      <c r="A5" s="3" t="s">
        <v>33</v>
      </c>
      <c r="B5" s="5" t="s">
        <v>34</v>
      </c>
      <c r="C5" s="8" t="s">
        <v>35</v>
      </c>
      <c r="D5" s="8"/>
    </row>
    <row r="6" customFormat="false" ht="15" hidden="false" customHeight="false" outlineLevel="0" collapsed="false">
      <c r="A6" s="3" t="s">
        <v>36</v>
      </c>
      <c r="B6" s="5" t="s">
        <v>37</v>
      </c>
      <c r="C6" s="8" t="s">
        <v>38</v>
      </c>
      <c r="D6" s="8"/>
    </row>
    <row r="7" customFormat="false" ht="15" hidden="false" customHeight="false" outlineLevel="0" collapsed="false">
      <c r="A7" s="3" t="s">
        <v>39</v>
      </c>
      <c r="B7" s="5" t="s">
        <v>40</v>
      </c>
      <c r="C7" s="8" t="s">
        <v>41</v>
      </c>
      <c r="D7" s="8"/>
    </row>
    <row r="8" customFormat="false" ht="15" hidden="false" customHeight="false" outlineLevel="0" collapsed="false">
      <c r="A8" s="3" t="s">
        <v>42</v>
      </c>
      <c r="B8" s="6" t="n">
        <f aca="false">IFERROR(INDEX(Structure!$B:$B,MATCH($B$6,Structure!$D:$D,0)),"not found")</f>
        <v>1</v>
      </c>
    </row>
    <row r="10" customFormat="false" ht="15" hidden="false" customHeight="false" outlineLevel="0" collapsed="false">
      <c r="A10" s="9" t="s">
        <v>43</v>
      </c>
    </row>
    <row r="11" customFormat="false" ht="15" hidden="false" customHeight="false" outlineLevel="0" collapsed="false">
      <c r="A11" s="10" t="s">
        <v>44</v>
      </c>
      <c r="B11" s="10" t="s">
        <v>45</v>
      </c>
      <c r="C11" s="10" t="s">
        <v>46</v>
      </c>
      <c r="D11" s="10" t="s">
        <v>47</v>
      </c>
    </row>
    <row r="12" customFormat="false" ht="15" hidden="false" customHeight="false" outlineLevel="0" collapsed="false">
      <c r="A12" s="11" t="s">
        <v>48</v>
      </c>
      <c r="B12" s="12" t="s">
        <v>32</v>
      </c>
      <c r="C12" s="12"/>
      <c r="D12" s="12" t="s">
        <v>49</v>
      </c>
    </row>
    <row r="13" customFormat="false" ht="15" hidden="false" customHeight="false" outlineLevel="0" collapsed="false">
      <c r="A13" s="11" t="s">
        <v>50</v>
      </c>
      <c r="B13" s="12" t="s">
        <v>51</v>
      </c>
      <c r="C13" s="12"/>
      <c r="D13" s="12" t="s">
        <v>52</v>
      </c>
    </row>
    <row r="14" customFormat="false" ht="15" hidden="false" customHeight="false" outlineLevel="0" collapsed="false">
      <c r="A14" s="11" t="s">
        <v>53</v>
      </c>
      <c r="B14" s="12"/>
      <c r="C14" s="12"/>
      <c r="D14" s="12"/>
    </row>
    <row r="15" customFormat="false" ht="15" hidden="false" customHeight="false" outlineLevel="0" collapsed="false">
      <c r="A15" s="11" t="s">
        <v>54</v>
      </c>
      <c r="B15" s="12"/>
      <c r="C15" s="12"/>
      <c r="D15" s="12"/>
    </row>
    <row r="16" customFormat="false" ht="15" hidden="false" customHeight="false" outlineLevel="0" collapsed="false">
      <c r="A16" s="11" t="s">
        <v>55</v>
      </c>
      <c r="B16" s="12"/>
      <c r="C16" s="12"/>
      <c r="D16" s="12"/>
    </row>
    <row r="17" customFormat="false" ht="15" hidden="false" customHeight="false" outlineLevel="0" collapsed="false">
      <c r="A17" s="11" t="s">
        <v>56</v>
      </c>
      <c r="B17" s="12"/>
      <c r="C17" s="12"/>
      <c r="D17" s="12"/>
    </row>
    <row r="19" customFormat="false" ht="15" hidden="false" customHeight="false" outlineLevel="0" collapsed="false">
      <c r="A19" s="9" t="s">
        <v>57</v>
      </c>
    </row>
    <row r="20" customFormat="false" ht="15" hidden="false" customHeight="false" outlineLevel="0" collapsed="false">
      <c r="A20" s="10" t="s">
        <v>58</v>
      </c>
      <c r="B20" s="10" t="s">
        <v>59</v>
      </c>
      <c r="C20" s="10" t="s">
        <v>60</v>
      </c>
    </row>
    <row r="21" customFormat="false" ht="15" hidden="false" customHeight="false" outlineLevel="0" collapsed="false">
      <c r="A21" s="13" t="str">
        <f aca="false">IF($B$12="","",$B$12)</f>
        <v>A</v>
      </c>
      <c r="B21" s="13" t="n">
        <f aca="false">IF($B$12="","",COUNTIF(Structure!$R:$R,"ALL")+COUNTIFS(Structure!$L:$L,"X",Structure!$R:$R,"&lt;&gt;ALL"))</f>
        <v>2</v>
      </c>
      <c r="C21" s="13" t="n">
        <f aca="false">IF($B$12="","",COUNTIFS(Structure!$L:$L,"X",Structure!$R:$R,"&lt;&gt;ALL"))</f>
        <v>1</v>
      </c>
    </row>
    <row r="22" customFormat="false" ht="15" hidden="false" customHeight="false" outlineLevel="0" collapsed="false">
      <c r="A22" s="13" t="str">
        <f aca="false">IF($B$13="","",$B$13)</f>
        <v>B</v>
      </c>
      <c r="B22" s="13" t="n">
        <f aca="false">IF($B$13="","",COUNTIF(Structure!$R:$R,"ALL")+COUNTIFS(Structure!$M:$M,"X",Structure!$R:$R,"&lt;&gt;ALL"))</f>
        <v>2</v>
      </c>
      <c r="C22" s="13" t="n">
        <f aca="false">IF($B$13="","",COUNTIFS(Structure!$M:$M,"X",Structure!$R:$R,"&lt;&gt;ALL"))</f>
        <v>1</v>
      </c>
    </row>
    <row r="23" customFormat="false" ht="15" hidden="false" customHeight="false" outlineLevel="0" collapsed="false">
      <c r="A23" s="13" t="str">
        <f aca="false">IF($B$14="","",$B$14)</f>
        <v/>
      </c>
      <c r="B23" s="13" t="str">
        <f aca="false">IF($B$14="","",COUNTIF(Structure!$R:$R,"ALL")+COUNTIFS(Structure!$N:$N,"X",Structure!$R:$R,"&lt;&gt;ALL"))</f>
        <v/>
      </c>
      <c r="C23" s="13" t="str">
        <f aca="false">IF($B$14="","",COUNTIFS(Structure!$N:$N,"X",Structure!$R:$R,"&lt;&gt;ALL"))</f>
        <v/>
      </c>
    </row>
    <row r="24" customFormat="false" ht="15" hidden="false" customHeight="false" outlineLevel="0" collapsed="false">
      <c r="A24" s="13" t="str">
        <f aca="false">IF($B$15="","",$B$15)</f>
        <v/>
      </c>
      <c r="B24" s="13" t="str">
        <f aca="false">IF($B$15="","",COUNTIF(Structure!$R:$R,"ALL")+COUNTIFS(Structure!$O:$O,"X",Structure!$R:$R,"&lt;&gt;ALL"))</f>
        <v/>
      </c>
      <c r="C24" s="13" t="str">
        <f aca="false">IF($B$15="","",COUNTIFS(Structure!$O:$O,"X",Structure!$R:$R,"&lt;&gt;ALL"))</f>
        <v/>
      </c>
    </row>
    <row r="25" customFormat="false" ht="15" hidden="false" customHeight="false" outlineLevel="0" collapsed="false">
      <c r="A25" s="13" t="str">
        <f aca="false">IF($B$16="","",$B$16)</f>
        <v/>
      </c>
      <c r="B25" s="13" t="str">
        <f aca="false">IF($B$16="","",COUNTIF(Structure!$R:$R,"ALL")+COUNTIFS(Structure!$P:$P,"X",Structure!$R:$R,"&lt;&gt;ALL"))</f>
        <v/>
      </c>
      <c r="C25" s="13" t="str">
        <f aca="false">IF($B$16="","",COUNTIFS(Structure!$P:$P,"X",Structure!$R:$R,"&lt;&gt;ALL"))</f>
        <v/>
      </c>
    </row>
    <row r="26" customFormat="false" ht="15" hidden="false" customHeight="false" outlineLevel="0" collapsed="false">
      <c r="A26" s="13" t="str">
        <f aca="false">IF($B$17="","",$B$17)</f>
        <v/>
      </c>
      <c r="B26" s="13" t="str">
        <f aca="false">IF($B$17="","",COUNTIF(Structure!$R:$R,"ALL")+COUNTIFS(Structure!$Q:$Q,"X",Structure!$R:$R,"&lt;&gt;ALL"))</f>
        <v/>
      </c>
      <c r="C26" s="13" t="str">
        <f aca="false">IF($B$17="","",COUNTIFS(Structure!$Q:$Q,"X",Structure!$R:$R,"&lt;&gt;ALL"))</f>
        <v/>
      </c>
    </row>
    <row r="28" customFormat="false" ht="15" hidden="false" customHeight="false" outlineLevel="0" collapsed="false">
      <c r="A28" s="3" t="s">
        <v>61</v>
      </c>
      <c r="B28" s="6" t="n">
        <f aca="false">COUNTIF(Structure!$R:$R,"ALL")</f>
        <v>1</v>
      </c>
    </row>
    <row r="29" customFormat="false" ht="15" hidden="false" customHeight="false" outlineLevel="0" collapsed="false">
      <c r="A29" s="3" t="s">
        <v>62</v>
      </c>
      <c r="B29" s="6" t="n">
        <f aca="false">COUNTIFS(Structure!$S$5:$S$300,"?*",Structure!$S$5:$S$300,"&lt;&gt;OK")</f>
        <v>0</v>
      </c>
      <c r="C29" s="2" t="s">
        <v>63</v>
      </c>
    </row>
  </sheetData>
  <mergeCells count="5">
    <mergeCell ref="C3:D3"/>
    <mergeCell ref="C4:D4"/>
    <mergeCell ref="C5:D5"/>
    <mergeCell ref="C6:D6"/>
    <mergeCell ref="C7:D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7"/>
    <col collapsed="false" customWidth="true" hidden="false" outlineLevel="0" max="4" min="3" style="0" width="18"/>
    <col collapsed="false" customWidth="true" hidden="false" outlineLevel="0" max="5" min="5" style="0" width="52"/>
    <col collapsed="false" customWidth="true" hidden="false" outlineLevel="0" max="6" min="6" style="0" width="16"/>
    <col collapsed="false" customWidth="true" hidden="false" outlineLevel="0" max="7" min="7" style="0" width="8"/>
    <col collapsed="false" customWidth="true" hidden="false" outlineLevel="0" max="8" min="8" style="0" width="6"/>
    <col collapsed="false" customWidth="true" hidden="false" outlineLevel="0" max="9" min="9" style="0" width="14"/>
    <col collapsed="false" customWidth="true" hidden="false" outlineLevel="0" max="10" min="10" style="0" width="11"/>
    <col collapsed="false" customWidth="true" hidden="false" outlineLevel="0" max="11" min="11" style="0" width="16"/>
    <col collapsed="false" customWidth="true" hidden="false" outlineLevel="0" max="17" min="12" style="0" width="7"/>
    <col collapsed="false" customWidth="true" hidden="false" outlineLevel="0" max="18" min="18" style="0" width="18"/>
    <col collapsed="false" customWidth="true" hidden="false" outlineLevel="0" max="19" min="19" style="0" width="30"/>
  </cols>
  <sheetData>
    <row r="1" customFormat="false" ht="17.35" hidden="false" customHeight="false" outlineLevel="0" collapsed="false">
      <c r="A1" s="7" t="s">
        <v>64</v>
      </c>
    </row>
    <row r="2" customFormat="false" ht="15" hidden="false" customHeight="false" outlineLevel="0" collapsed="false">
      <c r="A2" s="2" t="s">
        <v>65</v>
      </c>
    </row>
    <row r="3" customFormat="false" ht="15" hidden="false" customHeight="false" outlineLevel="0" collapsed="false">
      <c r="L3" s="14" t="s">
        <v>66</v>
      </c>
      <c r="M3" s="14"/>
      <c r="N3" s="14"/>
      <c r="O3" s="14"/>
      <c r="P3" s="14"/>
      <c r="Q3" s="14"/>
    </row>
    <row r="4" customFormat="false" ht="15" hidden="false" customHeight="false" outlineLevel="0" collapsed="false">
      <c r="A4" s="15" t="s">
        <v>67</v>
      </c>
      <c r="B4" s="15" t="s">
        <v>68</v>
      </c>
      <c r="C4" s="15" t="s">
        <v>69</v>
      </c>
      <c r="D4" s="15" t="s">
        <v>70</v>
      </c>
      <c r="E4" s="15" t="s">
        <v>47</v>
      </c>
      <c r="F4" s="15" t="s">
        <v>12</v>
      </c>
      <c r="G4" s="15" t="s">
        <v>71</v>
      </c>
      <c r="H4" s="15" t="s">
        <v>14</v>
      </c>
      <c r="I4" s="15" t="s">
        <v>72</v>
      </c>
      <c r="J4" s="15" t="s">
        <v>16</v>
      </c>
      <c r="K4" s="15" t="s">
        <v>73</v>
      </c>
      <c r="L4" s="16" t="str">
        <f aca="false">IF(Model!$B$12="","",Model!$B$12)</f>
        <v>A</v>
      </c>
      <c r="M4" s="16" t="str">
        <f aca="false">IF(Model!$B$13="","",Model!$B$13)</f>
        <v>B</v>
      </c>
      <c r="N4" s="16" t="str">
        <f aca="false">IF(Model!$B$14="","",Model!$B$14)</f>
        <v/>
      </c>
      <c r="O4" s="16" t="str">
        <f aca="false">IF(Model!$B$15="","",Model!$B$15)</f>
        <v/>
      </c>
      <c r="P4" s="16" t="str">
        <f aca="false">IF(Model!$B$16="","",Model!$B$16)</f>
        <v/>
      </c>
      <c r="Q4" s="16" t="str">
        <f aca="false">IF(Model!$B$17="","",Model!$B$17)</f>
        <v/>
      </c>
      <c r="R4" s="10" t="s">
        <v>74</v>
      </c>
      <c r="S4" s="10" t="s">
        <v>75</v>
      </c>
    </row>
    <row r="5" customFormat="false" ht="15" hidden="false" customHeight="false" outlineLevel="0" collapsed="false">
      <c r="A5" s="17" t="n">
        <v>1</v>
      </c>
      <c r="B5" s="18" t="n">
        <v>0</v>
      </c>
      <c r="C5" s="18"/>
      <c r="D5" s="18" t="s">
        <v>34</v>
      </c>
      <c r="E5" s="12" t="s">
        <v>76</v>
      </c>
      <c r="F5" s="18" t="s">
        <v>77</v>
      </c>
      <c r="G5" s="18" t="s">
        <v>78</v>
      </c>
      <c r="H5" s="18"/>
      <c r="I5" s="18"/>
      <c r="J5" s="18" t="s">
        <v>79</v>
      </c>
      <c r="K5" s="18"/>
      <c r="L5" s="19"/>
      <c r="M5" s="19"/>
      <c r="N5" s="19"/>
      <c r="O5" s="19"/>
      <c r="P5" s="19"/>
      <c r="Q5" s="19"/>
      <c r="R5" s="6" t="str">
        <f aca="false">IF(B5="","",IF(COUNTIF(L5:Q5,"X")=0,"",IF(COUNTIF(L5:Q5,"X")=COUNTA(Model!$B$12:$B$17),"ALL",_xlfn.TEXTJOIN(", ",TRUE(),IF(L5="X",L$4,""),IF(M5="X",M$4,""),IF(N5="X",N$4,""),IF(O5="X",O$4,""),IF(P5="X",P$4,""),IF(Q5="X",Q$4,"")))))</f>
        <v/>
      </c>
      <c r="S5" s="6" t="str">
        <f aca="false">IF(B5="","",IF(FALSE(),"Level skips a step",IF(AND(B5&gt;0,OR(H5="",H5&lt;=0)),"Qty missing or 0",IF(AND(J5="Existing",K5=""),"Existing ID missing",IF(AND(B5=Model!$B$8+1,COUNTIF(L5:Q5,"X")=0),"Not in any variant",IF(AND(NOT(B5=Model!$B$8+1),COUNTIF(L5:Q5,"X")&gt;0),"X outside configured item","OK"))))))</f>
        <v>OK</v>
      </c>
    </row>
    <row r="6" customFormat="false" ht="15" hidden="false" customHeight="false" outlineLevel="0" collapsed="false">
      <c r="A6" s="17" t="n">
        <v>2</v>
      </c>
      <c r="B6" s="18" t="n">
        <v>1</v>
      </c>
      <c r="C6" s="18"/>
      <c r="D6" s="18" t="s">
        <v>37</v>
      </c>
      <c r="E6" s="12" t="s">
        <v>80</v>
      </c>
      <c r="F6" s="18" t="s">
        <v>77</v>
      </c>
      <c r="G6" s="18" t="s">
        <v>78</v>
      </c>
      <c r="H6" s="18" t="n">
        <v>1</v>
      </c>
      <c r="I6" s="18"/>
      <c r="J6" s="18" t="s">
        <v>79</v>
      </c>
      <c r="K6" s="18"/>
      <c r="L6" s="19"/>
      <c r="M6" s="19"/>
      <c r="N6" s="19"/>
      <c r="O6" s="19"/>
      <c r="P6" s="19"/>
      <c r="Q6" s="19"/>
      <c r="R6" s="6" t="str">
        <f aca="false">IF(B6="","",IF(COUNTIF(L6:Q6,"X")=0,"",IF(COUNTIF(L6:Q6,"X")=COUNTA(Model!$B$12:$B$17),"ALL",_xlfn.TEXTJOIN(", ",TRUE(),IF(L6="X",L$4,""),IF(M6="X",M$4,""),IF(N6="X",N$4,""),IF(O6="X",O$4,""),IF(P6="X",P$4,""),IF(Q6="X",Q$4,"")))))</f>
        <v/>
      </c>
      <c r="S6" s="6" t="str">
        <f aca="false">IF(B6="","",IF(B6&gt;B5+1,"Level skips a step",IF(AND(B6&gt;0,OR(H6="",H6&lt;=0)),"Qty missing or 0",IF(AND(J6="Existing",K6=""),"Existing ID missing",IF(AND(B6=Model!$B$8+1,COUNTIF(L6:Q6,"X")=0),"Not in any variant",IF(AND(NOT(B6=Model!$B$8+1),COUNTIF(L6:Q6,"X")&gt;0),"X outside configured item","OK"))))))</f>
        <v>OK</v>
      </c>
    </row>
    <row r="7" customFormat="false" ht="15" hidden="false" customHeight="false" outlineLevel="0" collapsed="false">
      <c r="A7" s="17" t="n">
        <v>3</v>
      </c>
      <c r="B7" s="18" t="n">
        <v>2</v>
      </c>
      <c r="C7" s="18"/>
      <c r="D7" s="18" t="s">
        <v>81</v>
      </c>
      <c r="E7" s="12" t="s">
        <v>82</v>
      </c>
      <c r="F7" s="18" t="s">
        <v>83</v>
      </c>
      <c r="G7" s="18" t="s">
        <v>78</v>
      </c>
      <c r="H7" s="18" t="n">
        <v>2</v>
      </c>
      <c r="I7" s="18"/>
      <c r="J7" s="18" t="s">
        <v>79</v>
      </c>
      <c r="K7" s="18"/>
      <c r="L7" s="19" t="s">
        <v>84</v>
      </c>
      <c r="M7" s="19" t="s">
        <v>84</v>
      </c>
      <c r="N7" s="19"/>
      <c r="O7" s="19"/>
      <c r="P7" s="19"/>
      <c r="Q7" s="19"/>
      <c r="R7" s="6" t="str">
        <f aca="false">IF(B7="","",IF(COUNTIF(L7:Q7,"X")=0,"",IF(COUNTIF(L7:Q7,"X")=COUNTA(Model!$B$12:$B$17),"ALL",_xlfn.TEXTJOIN(", ",TRUE(),IF(L7="X",L$4,""),IF(M7="X",M$4,""),IF(N7="X",N$4,""),IF(O7="X",O$4,""),IF(P7="X",P$4,""),IF(Q7="X",Q$4,"")))))</f>
        <v>ALL</v>
      </c>
      <c r="S7" s="6" t="str">
        <f aca="false">IF(B7="","",IF(B7&gt;B6+1,"Level skips a step",IF(AND(B7&gt;0,OR(H7="",H7&lt;=0)),"Qty missing or 0",IF(AND(J7="Existing",K7=""),"Existing ID missing",IF(AND(B7=Model!$B$8+1,COUNTIF(L7:Q7,"X")=0),"Not in any variant",IF(AND(NOT(B7=Model!$B$8+1),COUNTIF(L7:Q7,"X")&gt;0),"X outside configured item","OK"))))))</f>
        <v>OK</v>
      </c>
    </row>
    <row r="8" customFormat="false" ht="15" hidden="false" customHeight="false" outlineLevel="0" collapsed="false">
      <c r="A8" s="17" t="n">
        <v>4</v>
      </c>
      <c r="B8" s="18" t="n">
        <v>2</v>
      </c>
      <c r="C8" s="18"/>
      <c r="D8" s="18" t="s">
        <v>85</v>
      </c>
      <c r="E8" s="12" t="s">
        <v>86</v>
      </c>
      <c r="F8" s="18" t="s">
        <v>83</v>
      </c>
      <c r="G8" s="18" t="s">
        <v>78</v>
      </c>
      <c r="H8" s="18" t="n">
        <v>1</v>
      </c>
      <c r="I8" s="18"/>
      <c r="J8" s="18" t="s">
        <v>79</v>
      </c>
      <c r="K8" s="18"/>
      <c r="L8" s="19" t="s">
        <v>84</v>
      </c>
      <c r="M8" s="19"/>
      <c r="N8" s="19"/>
      <c r="O8" s="19"/>
      <c r="P8" s="19"/>
      <c r="Q8" s="19"/>
      <c r="R8" s="6" t="str">
        <f aca="false">IF(B8="","",IF(COUNTIF(L8:Q8,"X")=0,"",IF(COUNTIF(L8:Q8,"X")=COUNTA(Model!$B$12:$B$17),"ALL",_xlfn.TEXTJOIN(", ",TRUE(),IF(L8="X",L$4,""),IF(M8="X",M$4,""),IF(N8="X",N$4,""),IF(O8="X",O$4,""),IF(P8="X",P$4,""),IF(Q8="X",Q$4,"")))))</f>
        <v>A</v>
      </c>
      <c r="S8" s="6" t="str">
        <f aca="false">IF(B8="","",IF(B8&gt;B7+1,"Level skips a step",IF(AND(B8&gt;0,OR(H8="",H8&lt;=0)),"Qty missing or 0",IF(AND(J8="Existing",K8=""),"Existing ID missing",IF(AND(B8=Model!$B$8+1,COUNTIF(L8:Q8,"X")=0),"Not in any variant",IF(AND(NOT(B8=Model!$B$8+1),COUNTIF(L8:Q8,"X")&gt;0),"X outside configured item","OK"))))))</f>
        <v>OK</v>
      </c>
    </row>
    <row r="9" customFormat="false" ht="15" hidden="false" customHeight="false" outlineLevel="0" collapsed="false">
      <c r="A9" s="17" t="n">
        <v>5</v>
      </c>
      <c r="B9" s="18" t="n">
        <v>2</v>
      </c>
      <c r="C9" s="18"/>
      <c r="D9" s="18" t="s">
        <v>87</v>
      </c>
      <c r="E9" s="12" t="s">
        <v>88</v>
      </c>
      <c r="F9" s="18" t="s">
        <v>83</v>
      </c>
      <c r="G9" s="18" t="s">
        <v>78</v>
      </c>
      <c r="H9" s="18" t="n">
        <v>1</v>
      </c>
      <c r="I9" s="18"/>
      <c r="J9" s="18" t="s">
        <v>79</v>
      </c>
      <c r="K9" s="18"/>
      <c r="L9" s="19"/>
      <c r="M9" s="19" t="s">
        <v>84</v>
      </c>
      <c r="N9" s="19"/>
      <c r="O9" s="19"/>
      <c r="P9" s="19"/>
      <c r="Q9" s="19"/>
      <c r="R9" s="6" t="str">
        <f aca="false">IF(B9="","",IF(COUNTIF(L9:Q9,"X")=0,"",IF(COUNTIF(L9:Q9,"X")=COUNTA(Model!$B$12:$B$17),"ALL",_xlfn.TEXTJOIN(", ",TRUE(),IF(L9="X",L$4,""),IF(M9="X",M$4,""),IF(N9="X",N$4,""),IF(O9="X",O$4,""),IF(P9="X",P$4,""),IF(Q9="X",Q$4,"")))))</f>
        <v>B</v>
      </c>
      <c r="S9" s="6" t="str">
        <f aca="false">IF(B9="","",IF(B9&gt;B8+1,"Level skips a step",IF(AND(B9&gt;0,OR(H9="",H9&lt;=0)),"Qty missing or 0",IF(AND(J9="Existing",K9=""),"Existing ID missing",IF(AND(B9=Model!$B$8+1,COUNTIF(L9:Q9,"X")=0),"Not in any variant",IF(AND(NOT(B9=Model!$B$8+1),COUNTIF(L9:Q9,"X")&gt;0),"X outside configured item","OK"))))))</f>
        <v>OK</v>
      </c>
    </row>
    <row r="10" customFormat="false" ht="15" hidden="false" customHeight="false" outlineLevel="0" collapsed="false">
      <c r="A10" s="17" t="str">
        <f aca="false">IF(B10="","",ROW()-4)</f>
        <v/>
      </c>
      <c r="B10" s="18"/>
      <c r="C10" s="18"/>
      <c r="D10" s="18"/>
      <c r="E10" s="12"/>
      <c r="F10" s="18"/>
      <c r="G10" s="18"/>
      <c r="H10" s="18"/>
      <c r="I10" s="18"/>
      <c r="J10" s="18"/>
      <c r="K10" s="18"/>
      <c r="L10" s="19"/>
      <c r="M10" s="19"/>
      <c r="N10" s="19"/>
      <c r="O10" s="19"/>
      <c r="P10" s="19"/>
      <c r="Q10" s="19"/>
      <c r="R10" s="6" t="str">
        <f aca="false">IF(B10="","",IF(COUNTIF(L10:Q10,"X")=0,"",IF(COUNTIF(L10:Q10,"X")=COUNTA(Model!$B$12:$B$17),"ALL",_xlfn.TEXTJOIN(", ",TRUE(),IF(L10="X",L$4,""),IF(M10="X",M$4,""),IF(N10="X",N$4,""),IF(O10="X",O$4,""),IF(P10="X",P$4,""),IF(Q10="X",Q$4,"")))))</f>
        <v/>
      </c>
      <c r="S10" s="6" t="str">
        <f aca="false">IF(B10="","",IF(B10&gt;B9+1,"Level skips a step",IF(AND(B10&gt;0,OR(H10="",H10&lt;=0)),"Qty missing or 0",IF(AND(J10="Existing",K10=""),"Existing ID missing",IF(AND(B10=Model!$B$8+1,COUNTIF(L10:Q10,"X")=0),"Not in any variant",IF(AND(NOT(B10=Model!$B$8+1),COUNTIF(L10:Q10,"X")&gt;0),"X outside configured item","OK"))))))</f>
        <v/>
      </c>
    </row>
    <row r="11" customFormat="false" ht="15" hidden="false" customHeight="false" outlineLevel="0" collapsed="false">
      <c r="A11" s="17" t="str">
        <f aca="false">IF(B11="","",ROW()-4)</f>
        <v/>
      </c>
      <c r="B11" s="18"/>
      <c r="C11" s="18"/>
      <c r="D11" s="18"/>
      <c r="E11" s="12"/>
      <c r="F11" s="18"/>
      <c r="G11" s="18"/>
      <c r="H11" s="18"/>
      <c r="I11" s="18"/>
      <c r="J11" s="18"/>
      <c r="K11" s="18"/>
      <c r="L11" s="19"/>
      <c r="M11" s="19"/>
      <c r="N11" s="19"/>
      <c r="O11" s="19"/>
      <c r="P11" s="19"/>
      <c r="Q11" s="19"/>
      <c r="R11" s="6" t="str">
        <f aca="false">IF(B11="","",IF(COUNTIF(L11:Q11,"X")=0,"",IF(COUNTIF(L11:Q11,"X")=COUNTA(Model!$B$12:$B$17),"ALL",_xlfn.TEXTJOIN(", ",TRUE(),IF(L11="X",L$4,""),IF(M11="X",M$4,""),IF(N11="X",N$4,""),IF(O11="X",O$4,""),IF(P11="X",P$4,""),IF(Q11="X",Q$4,"")))))</f>
        <v/>
      </c>
      <c r="S11" s="6" t="str">
        <f aca="false">IF(B11="","",IF(B11&gt;B10+1,"Level skips a step",IF(AND(B11&gt;0,OR(H11="",H11&lt;=0)),"Qty missing or 0",IF(AND(J11="Existing",K11=""),"Existing ID missing",IF(AND(B11=Model!$B$8+1,COUNTIF(L11:Q11,"X")=0),"Not in any variant",IF(AND(NOT(B11=Model!$B$8+1),COUNTIF(L11:Q11,"X")&gt;0),"X outside configured item","OK"))))))</f>
        <v/>
      </c>
    </row>
    <row r="12" customFormat="false" ht="15" hidden="false" customHeight="false" outlineLevel="0" collapsed="false">
      <c r="A12" s="17" t="str">
        <f aca="false">IF(B12="","",ROW()-4)</f>
        <v/>
      </c>
      <c r="B12" s="18"/>
      <c r="C12" s="18"/>
      <c r="D12" s="18"/>
      <c r="E12" s="12"/>
      <c r="F12" s="18"/>
      <c r="G12" s="18"/>
      <c r="H12" s="18"/>
      <c r="I12" s="18"/>
      <c r="J12" s="18"/>
      <c r="K12" s="18"/>
      <c r="L12" s="19"/>
      <c r="M12" s="19"/>
      <c r="N12" s="19"/>
      <c r="O12" s="19"/>
      <c r="P12" s="19"/>
      <c r="Q12" s="19"/>
      <c r="R12" s="6" t="str">
        <f aca="false">IF(B12="","",IF(COUNTIF(L12:Q12,"X")=0,"",IF(COUNTIF(L12:Q12,"X")=COUNTA(Model!$B$12:$B$17),"ALL",_xlfn.TEXTJOIN(", ",TRUE(),IF(L12="X",L$4,""),IF(M12="X",M$4,""),IF(N12="X",N$4,""),IF(O12="X",O$4,""),IF(P12="X",P$4,""),IF(Q12="X",Q$4,"")))))</f>
        <v/>
      </c>
      <c r="S12" s="6" t="str">
        <f aca="false">IF(B12="","",IF(B12&gt;B11+1,"Level skips a step",IF(AND(B12&gt;0,OR(H12="",H12&lt;=0)),"Qty missing or 0",IF(AND(J12="Existing",K12=""),"Existing ID missing",IF(AND(B12=Model!$B$8+1,COUNTIF(L12:Q12,"X")=0),"Not in any variant",IF(AND(NOT(B12=Model!$B$8+1),COUNTIF(L12:Q12,"X")&gt;0),"X outside configured item","OK"))))))</f>
        <v/>
      </c>
    </row>
    <row r="13" customFormat="false" ht="15" hidden="false" customHeight="false" outlineLevel="0" collapsed="false">
      <c r="A13" s="17" t="str">
        <f aca="false">IF(B13="","",ROW()-4)</f>
        <v/>
      </c>
      <c r="B13" s="18"/>
      <c r="C13" s="18"/>
      <c r="D13" s="18"/>
      <c r="E13" s="12"/>
      <c r="F13" s="18"/>
      <c r="G13" s="18"/>
      <c r="H13" s="18"/>
      <c r="I13" s="18"/>
      <c r="J13" s="18"/>
      <c r="K13" s="18"/>
      <c r="L13" s="19"/>
      <c r="M13" s="19"/>
      <c r="N13" s="19"/>
      <c r="O13" s="19"/>
      <c r="P13" s="19"/>
      <c r="Q13" s="19"/>
      <c r="R13" s="6" t="str">
        <f aca="false">IF(B13="","",IF(COUNTIF(L13:Q13,"X")=0,"",IF(COUNTIF(L13:Q13,"X")=COUNTA(Model!$B$12:$B$17),"ALL",_xlfn.TEXTJOIN(", ",TRUE(),IF(L13="X",L$4,""),IF(M13="X",M$4,""),IF(N13="X",N$4,""),IF(O13="X",O$4,""),IF(P13="X",P$4,""),IF(Q13="X",Q$4,"")))))</f>
        <v/>
      </c>
      <c r="S13" s="6" t="str">
        <f aca="false">IF(B13="","",IF(B13&gt;B12+1,"Level skips a step",IF(AND(B13&gt;0,OR(H13="",H13&lt;=0)),"Qty missing or 0",IF(AND(J13="Existing",K13=""),"Existing ID missing",IF(AND(B13=Model!$B$8+1,COUNTIF(L13:Q13,"X")=0),"Not in any variant",IF(AND(NOT(B13=Model!$B$8+1),COUNTIF(L13:Q13,"X")&gt;0),"X outside configured item","OK"))))))</f>
        <v/>
      </c>
    </row>
    <row r="14" customFormat="false" ht="15" hidden="false" customHeight="false" outlineLevel="0" collapsed="false">
      <c r="A14" s="17" t="str">
        <f aca="false">IF(B14="","",ROW()-4)</f>
        <v/>
      </c>
      <c r="B14" s="18"/>
      <c r="C14" s="18"/>
      <c r="D14" s="18"/>
      <c r="E14" s="12"/>
      <c r="F14" s="18"/>
      <c r="G14" s="18"/>
      <c r="H14" s="18"/>
      <c r="I14" s="18"/>
      <c r="J14" s="18"/>
      <c r="K14" s="18"/>
      <c r="L14" s="19"/>
      <c r="M14" s="19"/>
      <c r="N14" s="19"/>
      <c r="O14" s="19"/>
      <c r="P14" s="19"/>
      <c r="Q14" s="19"/>
      <c r="R14" s="6" t="str">
        <f aca="false">IF(B14="","",IF(COUNTIF(L14:Q14,"X")=0,"",IF(COUNTIF(L14:Q14,"X")=COUNTA(Model!$B$12:$B$17),"ALL",_xlfn.TEXTJOIN(", ",TRUE(),IF(L14="X",L$4,""),IF(M14="X",M$4,""),IF(N14="X",N$4,""),IF(O14="X",O$4,""),IF(P14="X",P$4,""),IF(Q14="X",Q$4,"")))))</f>
        <v/>
      </c>
      <c r="S14" s="6" t="str">
        <f aca="false">IF(B14="","",IF(B14&gt;B13+1,"Level skips a step",IF(AND(B14&gt;0,OR(H14="",H14&lt;=0)),"Qty missing or 0",IF(AND(J14="Existing",K14=""),"Existing ID missing",IF(AND(B14=Model!$B$8+1,COUNTIF(L14:Q14,"X")=0),"Not in any variant",IF(AND(NOT(B14=Model!$B$8+1),COUNTIF(L14:Q14,"X")&gt;0),"X outside configured item","OK"))))))</f>
        <v/>
      </c>
    </row>
    <row r="15" customFormat="false" ht="15" hidden="false" customHeight="false" outlineLevel="0" collapsed="false">
      <c r="A15" s="17" t="str">
        <f aca="false">IF(B15="","",ROW()-4)</f>
        <v/>
      </c>
      <c r="B15" s="18"/>
      <c r="C15" s="18"/>
      <c r="D15" s="18"/>
      <c r="E15" s="12"/>
      <c r="F15" s="18"/>
      <c r="G15" s="18"/>
      <c r="H15" s="18"/>
      <c r="I15" s="18"/>
      <c r="J15" s="18"/>
      <c r="K15" s="18"/>
      <c r="L15" s="19"/>
      <c r="M15" s="19"/>
      <c r="N15" s="19"/>
      <c r="O15" s="19"/>
      <c r="P15" s="19"/>
      <c r="Q15" s="19"/>
      <c r="R15" s="6" t="str">
        <f aca="false">IF(B15="","",IF(COUNTIF(L15:Q15,"X")=0,"",IF(COUNTIF(L15:Q15,"X")=COUNTA(Model!$B$12:$B$17),"ALL",_xlfn.TEXTJOIN(", ",TRUE(),IF(L15="X",L$4,""),IF(M15="X",M$4,""),IF(N15="X",N$4,""),IF(O15="X",O$4,""),IF(P15="X",P$4,""),IF(Q15="X",Q$4,"")))))</f>
        <v/>
      </c>
      <c r="S15" s="6" t="str">
        <f aca="false">IF(B15="","",IF(B15&gt;B14+1,"Level skips a step",IF(AND(B15&gt;0,OR(H15="",H15&lt;=0)),"Qty missing or 0",IF(AND(J15="Existing",K15=""),"Existing ID missing",IF(AND(B15=Model!$B$8+1,COUNTIF(L15:Q15,"X")=0),"Not in any variant",IF(AND(NOT(B15=Model!$B$8+1),COUNTIF(L15:Q15,"X")&gt;0),"X outside configured item","OK"))))))</f>
        <v/>
      </c>
    </row>
    <row r="16" customFormat="false" ht="15" hidden="false" customHeight="false" outlineLevel="0" collapsed="false">
      <c r="A16" s="17" t="str">
        <f aca="false">IF(B16="","",ROW()-4)</f>
        <v/>
      </c>
      <c r="B16" s="18"/>
      <c r="C16" s="18"/>
      <c r="D16" s="18"/>
      <c r="E16" s="12"/>
      <c r="F16" s="18"/>
      <c r="G16" s="18"/>
      <c r="H16" s="18"/>
      <c r="I16" s="18"/>
      <c r="J16" s="18"/>
      <c r="K16" s="18"/>
      <c r="L16" s="19"/>
      <c r="M16" s="19"/>
      <c r="N16" s="19"/>
      <c r="O16" s="19"/>
      <c r="P16" s="19"/>
      <c r="Q16" s="19"/>
      <c r="R16" s="6" t="str">
        <f aca="false">IF(B16="","",IF(COUNTIF(L16:Q16,"X")=0,"",IF(COUNTIF(L16:Q16,"X")=COUNTA(Model!$B$12:$B$17),"ALL",_xlfn.TEXTJOIN(", ",TRUE(),IF(L16="X",L$4,""),IF(M16="X",M$4,""),IF(N16="X",N$4,""),IF(O16="X",O$4,""),IF(P16="X",P$4,""),IF(Q16="X",Q$4,"")))))</f>
        <v/>
      </c>
      <c r="S16" s="6" t="str">
        <f aca="false">IF(B16="","",IF(B16&gt;B15+1,"Level skips a step",IF(AND(B16&gt;0,OR(H16="",H16&lt;=0)),"Qty missing or 0",IF(AND(J16="Existing",K16=""),"Existing ID missing",IF(AND(B16=Model!$B$8+1,COUNTIF(L16:Q16,"X")=0),"Not in any variant",IF(AND(NOT(B16=Model!$B$8+1),COUNTIF(L16:Q16,"X")&gt;0),"X outside configured item","OK"))))))</f>
        <v/>
      </c>
    </row>
    <row r="17" customFormat="false" ht="15" hidden="false" customHeight="false" outlineLevel="0" collapsed="false">
      <c r="A17" s="17" t="str">
        <f aca="false">IF(B17="","",ROW()-4)</f>
        <v/>
      </c>
      <c r="B17" s="18"/>
      <c r="C17" s="18"/>
      <c r="D17" s="18"/>
      <c r="E17" s="12"/>
      <c r="F17" s="18"/>
      <c r="G17" s="18"/>
      <c r="H17" s="18"/>
      <c r="I17" s="18"/>
      <c r="J17" s="18"/>
      <c r="K17" s="18"/>
      <c r="L17" s="19"/>
      <c r="M17" s="19"/>
      <c r="N17" s="19"/>
      <c r="O17" s="19"/>
      <c r="P17" s="19"/>
      <c r="Q17" s="19"/>
      <c r="R17" s="6" t="str">
        <f aca="false">IF(B17="","",IF(COUNTIF(L17:Q17,"X")=0,"",IF(COUNTIF(L17:Q17,"X")=COUNTA(Model!$B$12:$B$17),"ALL",_xlfn.TEXTJOIN(", ",TRUE(),IF(L17="X",L$4,""),IF(M17="X",M$4,""),IF(N17="X",N$4,""),IF(O17="X",O$4,""),IF(P17="X",P$4,""),IF(Q17="X",Q$4,"")))))</f>
        <v/>
      </c>
      <c r="S17" s="6" t="str">
        <f aca="false">IF(B17="","",IF(B17&gt;B16+1,"Level skips a step",IF(AND(B17&gt;0,OR(H17="",H17&lt;=0)),"Qty missing or 0",IF(AND(J17="Existing",K17=""),"Existing ID missing",IF(AND(B17=Model!$B$8+1,COUNTIF(L17:Q17,"X")=0),"Not in any variant",IF(AND(NOT(B17=Model!$B$8+1),COUNTIF(L17:Q17,"X")&gt;0),"X outside configured item","OK"))))))</f>
        <v/>
      </c>
    </row>
    <row r="18" customFormat="false" ht="15" hidden="false" customHeight="false" outlineLevel="0" collapsed="false">
      <c r="A18" s="17" t="str">
        <f aca="false">IF(B18="","",ROW()-4)</f>
        <v/>
      </c>
      <c r="B18" s="18"/>
      <c r="C18" s="18"/>
      <c r="D18" s="18"/>
      <c r="E18" s="12"/>
      <c r="F18" s="18"/>
      <c r="G18" s="18"/>
      <c r="H18" s="18"/>
      <c r="I18" s="18"/>
      <c r="J18" s="18"/>
      <c r="K18" s="18"/>
      <c r="L18" s="19"/>
      <c r="M18" s="19"/>
      <c r="N18" s="19"/>
      <c r="O18" s="19"/>
      <c r="P18" s="19"/>
      <c r="Q18" s="19"/>
      <c r="R18" s="6" t="str">
        <f aca="false">IF(B18="","",IF(COUNTIF(L18:Q18,"X")=0,"",IF(COUNTIF(L18:Q18,"X")=COUNTA(Model!$B$12:$B$17),"ALL",_xlfn.TEXTJOIN(", ",TRUE(),IF(L18="X",L$4,""),IF(M18="X",M$4,""),IF(N18="X",N$4,""),IF(O18="X",O$4,""),IF(P18="X",P$4,""),IF(Q18="X",Q$4,"")))))</f>
        <v/>
      </c>
      <c r="S18" s="6" t="str">
        <f aca="false">IF(B18="","",IF(B18&gt;B17+1,"Level skips a step",IF(AND(B18&gt;0,OR(H18="",H18&lt;=0)),"Qty missing or 0",IF(AND(J18="Existing",K18=""),"Existing ID missing",IF(AND(B18=Model!$B$8+1,COUNTIF(L18:Q18,"X")=0),"Not in any variant",IF(AND(NOT(B18=Model!$B$8+1),COUNTIF(L18:Q18,"X")&gt;0),"X outside configured item","OK"))))))</f>
        <v/>
      </c>
    </row>
    <row r="19" customFormat="false" ht="15" hidden="false" customHeight="false" outlineLevel="0" collapsed="false">
      <c r="A19" s="17" t="str">
        <f aca="false">IF(B19="","",ROW()-4)</f>
        <v/>
      </c>
      <c r="B19" s="18"/>
      <c r="C19" s="18"/>
      <c r="D19" s="18"/>
      <c r="E19" s="12"/>
      <c r="F19" s="18"/>
      <c r="G19" s="18"/>
      <c r="H19" s="18"/>
      <c r="I19" s="18"/>
      <c r="J19" s="18"/>
      <c r="K19" s="18"/>
      <c r="L19" s="19"/>
      <c r="M19" s="19"/>
      <c r="N19" s="19"/>
      <c r="O19" s="19"/>
      <c r="P19" s="19"/>
      <c r="Q19" s="19"/>
      <c r="R19" s="6" t="str">
        <f aca="false">IF(B19="","",IF(COUNTIF(L19:Q19,"X")=0,"",IF(COUNTIF(L19:Q19,"X")=COUNTA(Model!$B$12:$B$17),"ALL",_xlfn.TEXTJOIN(", ",TRUE(),IF(L19="X",L$4,""),IF(M19="X",M$4,""),IF(N19="X",N$4,""),IF(O19="X",O$4,""),IF(P19="X",P$4,""),IF(Q19="X",Q$4,"")))))</f>
        <v/>
      </c>
      <c r="S19" s="6" t="str">
        <f aca="false">IF(B19="","",IF(B19&gt;B18+1,"Level skips a step",IF(AND(B19&gt;0,OR(H19="",H19&lt;=0)),"Qty missing or 0",IF(AND(J19="Existing",K19=""),"Existing ID missing",IF(AND(B19=Model!$B$8+1,COUNTIF(L19:Q19,"X")=0),"Not in any variant",IF(AND(NOT(B19=Model!$B$8+1),COUNTIF(L19:Q19,"X")&gt;0),"X outside configured item","OK"))))))</f>
        <v/>
      </c>
    </row>
    <row r="20" customFormat="false" ht="15" hidden="false" customHeight="false" outlineLevel="0" collapsed="false">
      <c r="A20" s="17" t="str">
        <f aca="false">IF(B20="","",ROW()-4)</f>
        <v/>
      </c>
      <c r="B20" s="18"/>
      <c r="C20" s="18"/>
      <c r="D20" s="18"/>
      <c r="E20" s="12"/>
      <c r="F20" s="18"/>
      <c r="G20" s="18"/>
      <c r="H20" s="18"/>
      <c r="I20" s="18"/>
      <c r="J20" s="18"/>
      <c r="K20" s="18"/>
      <c r="L20" s="19"/>
      <c r="M20" s="19"/>
      <c r="N20" s="19"/>
      <c r="O20" s="19"/>
      <c r="P20" s="19"/>
      <c r="Q20" s="19"/>
      <c r="R20" s="6" t="str">
        <f aca="false">IF(B20="","",IF(COUNTIF(L20:Q20,"X")=0,"",IF(COUNTIF(L20:Q20,"X")=COUNTA(Model!$B$12:$B$17),"ALL",_xlfn.TEXTJOIN(", ",TRUE(),IF(L20="X",L$4,""),IF(M20="X",M$4,""),IF(N20="X",N$4,""),IF(O20="X",O$4,""),IF(P20="X",P$4,""),IF(Q20="X",Q$4,"")))))</f>
        <v/>
      </c>
      <c r="S20" s="6" t="str">
        <f aca="false">IF(B20="","",IF(B20&gt;B19+1,"Level skips a step",IF(AND(B20&gt;0,OR(H20="",H20&lt;=0)),"Qty missing or 0",IF(AND(J20="Existing",K20=""),"Existing ID missing",IF(AND(B20=Model!$B$8+1,COUNTIF(L20:Q20,"X")=0),"Not in any variant",IF(AND(NOT(B20=Model!$B$8+1),COUNTIF(L20:Q20,"X")&gt;0),"X outside configured item","OK"))))))</f>
        <v/>
      </c>
    </row>
    <row r="21" customFormat="false" ht="15" hidden="false" customHeight="false" outlineLevel="0" collapsed="false">
      <c r="A21" s="17" t="str">
        <f aca="false">IF(B21="","",ROW()-4)</f>
        <v/>
      </c>
      <c r="B21" s="18"/>
      <c r="C21" s="18"/>
      <c r="D21" s="18"/>
      <c r="E21" s="12"/>
      <c r="F21" s="18"/>
      <c r="G21" s="18"/>
      <c r="H21" s="18"/>
      <c r="I21" s="18"/>
      <c r="J21" s="18"/>
      <c r="K21" s="18"/>
      <c r="L21" s="19"/>
      <c r="M21" s="19"/>
      <c r="N21" s="19"/>
      <c r="O21" s="19"/>
      <c r="P21" s="19"/>
      <c r="Q21" s="19"/>
      <c r="R21" s="6" t="str">
        <f aca="false">IF(B21="","",IF(COUNTIF(L21:Q21,"X")=0,"",IF(COUNTIF(L21:Q21,"X")=COUNTA(Model!$B$12:$B$17),"ALL",_xlfn.TEXTJOIN(", ",TRUE(),IF(L21="X",L$4,""),IF(M21="X",M$4,""),IF(N21="X",N$4,""),IF(O21="X",O$4,""),IF(P21="X",P$4,""),IF(Q21="X",Q$4,"")))))</f>
        <v/>
      </c>
      <c r="S21" s="6" t="str">
        <f aca="false">IF(B21="","",IF(B21&gt;B20+1,"Level skips a step",IF(AND(B21&gt;0,OR(H21="",H21&lt;=0)),"Qty missing or 0",IF(AND(J21="Existing",K21=""),"Existing ID missing",IF(AND(B21=Model!$B$8+1,COUNTIF(L21:Q21,"X")=0),"Not in any variant",IF(AND(NOT(B21=Model!$B$8+1),COUNTIF(L21:Q21,"X")&gt;0),"X outside configured item","OK"))))))</f>
        <v/>
      </c>
    </row>
    <row r="22" customFormat="false" ht="15" hidden="false" customHeight="false" outlineLevel="0" collapsed="false">
      <c r="A22" s="17" t="str">
        <f aca="false">IF(B22="","",ROW()-4)</f>
        <v/>
      </c>
      <c r="B22" s="18"/>
      <c r="C22" s="18"/>
      <c r="D22" s="18"/>
      <c r="E22" s="12"/>
      <c r="F22" s="18"/>
      <c r="G22" s="18"/>
      <c r="H22" s="18"/>
      <c r="I22" s="18"/>
      <c r="J22" s="18"/>
      <c r="K22" s="18"/>
      <c r="L22" s="19"/>
      <c r="M22" s="19"/>
      <c r="N22" s="19"/>
      <c r="O22" s="19"/>
      <c r="P22" s="19"/>
      <c r="Q22" s="19"/>
      <c r="R22" s="6" t="str">
        <f aca="false">IF(B22="","",IF(COUNTIF(L22:Q22,"X")=0,"",IF(COUNTIF(L22:Q22,"X")=COUNTA(Model!$B$12:$B$17),"ALL",_xlfn.TEXTJOIN(", ",TRUE(),IF(L22="X",L$4,""),IF(M22="X",M$4,""),IF(N22="X",N$4,""),IF(O22="X",O$4,""),IF(P22="X",P$4,""),IF(Q22="X",Q$4,"")))))</f>
        <v/>
      </c>
      <c r="S22" s="6" t="str">
        <f aca="false">IF(B22="","",IF(B22&gt;B21+1,"Level skips a step",IF(AND(B22&gt;0,OR(H22="",H22&lt;=0)),"Qty missing or 0",IF(AND(J22="Existing",K22=""),"Existing ID missing",IF(AND(B22=Model!$B$8+1,COUNTIF(L22:Q22,"X")=0),"Not in any variant",IF(AND(NOT(B22=Model!$B$8+1),COUNTIF(L22:Q22,"X")&gt;0),"X outside configured item","OK"))))))</f>
        <v/>
      </c>
    </row>
    <row r="23" customFormat="false" ht="15" hidden="false" customHeight="false" outlineLevel="0" collapsed="false">
      <c r="A23" s="17" t="str">
        <f aca="false">IF(B23="","",ROW()-4)</f>
        <v/>
      </c>
      <c r="B23" s="18"/>
      <c r="C23" s="18"/>
      <c r="D23" s="18"/>
      <c r="E23" s="12"/>
      <c r="F23" s="18"/>
      <c r="G23" s="18"/>
      <c r="H23" s="18"/>
      <c r="I23" s="18"/>
      <c r="J23" s="18"/>
      <c r="K23" s="18"/>
      <c r="L23" s="19"/>
      <c r="M23" s="19"/>
      <c r="N23" s="19"/>
      <c r="O23" s="19"/>
      <c r="P23" s="19"/>
      <c r="Q23" s="19"/>
      <c r="R23" s="6" t="str">
        <f aca="false">IF(B23="","",IF(COUNTIF(L23:Q23,"X")=0,"",IF(COUNTIF(L23:Q23,"X")=COUNTA(Model!$B$12:$B$17),"ALL",_xlfn.TEXTJOIN(", ",TRUE(),IF(L23="X",L$4,""),IF(M23="X",M$4,""),IF(N23="X",N$4,""),IF(O23="X",O$4,""),IF(P23="X",P$4,""),IF(Q23="X",Q$4,"")))))</f>
        <v/>
      </c>
      <c r="S23" s="6" t="str">
        <f aca="false">IF(B23="","",IF(B23&gt;B22+1,"Level skips a step",IF(AND(B23&gt;0,OR(H23="",H23&lt;=0)),"Qty missing or 0",IF(AND(J23="Existing",K23=""),"Existing ID missing",IF(AND(B23=Model!$B$8+1,COUNTIF(L23:Q23,"X")=0),"Not in any variant",IF(AND(NOT(B23=Model!$B$8+1),COUNTIF(L23:Q23,"X")&gt;0),"X outside configured item","OK"))))))</f>
        <v/>
      </c>
    </row>
    <row r="24" customFormat="false" ht="15" hidden="false" customHeight="false" outlineLevel="0" collapsed="false">
      <c r="A24" s="17" t="str">
        <f aca="false">IF(B24="","",ROW()-4)</f>
        <v/>
      </c>
      <c r="B24" s="18"/>
      <c r="C24" s="18"/>
      <c r="D24" s="18"/>
      <c r="E24" s="12"/>
      <c r="F24" s="18"/>
      <c r="G24" s="18"/>
      <c r="H24" s="18"/>
      <c r="I24" s="18"/>
      <c r="J24" s="18"/>
      <c r="K24" s="18"/>
      <c r="L24" s="19"/>
      <c r="M24" s="19"/>
      <c r="N24" s="19"/>
      <c r="O24" s="19"/>
      <c r="P24" s="19"/>
      <c r="Q24" s="19"/>
      <c r="R24" s="6" t="str">
        <f aca="false">IF(B24="","",IF(COUNTIF(L24:Q24,"X")=0,"",IF(COUNTIF(L24:Q24,"X")=COUNTA(Model!$B$12:$B$17),"ALL",_xlfn.TEXTJOIN(", ",TRUE(),IF(L24="X",L$4,""),IF(M24="X",M$4,""),IF(N24="X",N$4,""),IF(O24="X",O$4,""),IF(P24="X",P$4,""),IF(Q24="X",Q$4,"")))))</f>
        <v/>
      </c>
      <c r="S24" s="6" t="str">
        <f aca="false">IF(B24="","",IF(B24&gt;B23+1,"Level skips a step",IF(AND(B24&gt;0,OR(H24="",H24&lt;=0)),"Qty missing or 0",IF(AND(J24="Existing",K24=""),"Existing ID missing",IF(AND(B24=Model!$B$8+1,COUNTIF(L24:Q24,"X")=0),"Not in any variant",IF(AND(NOT(B24=Model!$B$8+1),COUNTIF(L24:Q24,"X")&gt;0),"X outside configured item","OK"))))))</f>
        <v/>
      </c>
    </row>
    <row r="25" customFormat="false" ht="15" hidden="false" customHeight="false" outlineLevel="0" collapsed="false">
      <c r="A25" s="17" t="str">
        <f aca="false">IF(B25="","",ROW()-4)</f>
        <v/>
      </c>
      <c r="B25" s="18"/>
      <c r="C25" s="18"/>
      <c r="D25" s="18"/>
      <c r="E25" s="12"/>
      <c r="F25" s="18"/>
      <c r="G25" s="18"/>
      <c r="H25" s="18"/>
      <c r="I25" s="18"/>
      <c r="J25" s="18"/>
      <c r="K25" s="18"/>
      <c r="L25" s="19"/>
      <c r="M25" s="19"/>
      <c r="N25" s="19"/>
      <c r="O25" s="19"/>
      <c r="P25" s="19"/>
      <c r="Q25" s="19"/>
      <c r="R25" s="6" t="str">
        <f aca="false">IF(B25="","",IF(COUNTIF(L25:Q25,"X")=0,"",IF(COUNTIF(L25:Q25,"X")=COUNTA(Model!$B$12:$B$17),"ALL",_xlfn.TEXTJOIN(", ",TRUE(),IF(L25="X",L$4,""),IF(M25="X",M$4,""),IF(N25="X",N$4,""),IF(O25="X",O$4,""),IF(P25="X",P$4,""),IF(Q25="X",Q$4,"")))))</f>
        <v/>
      </c>
      <c r="S25" s="6" t="str">
        <f aca="false">IF(B25="","",IF(B25&gt;B24+1,"Level skips a step",IF(AND(B25&gt;0,OR(H25="",H25&lt;=0)),"Qty missing or 0",IF(AND(J25="Existing",K25=""),"Existing ID missing",IF(AND(B25=Model!$B$8+1,COUNTIF(L25:Q25,"X")=0),"Not in any variant",IF(AND(NOT(B25=Model!$B$8+1),COUNTIF(L25:Q25,"X")&gt;0),"X outside configured item","OK"))))))</f>
        <v/>
      </c>
    </row>
    <row r="26" customFormat="false" ht="15" hidden="false" customHeight="false" outlineLevel="0" collapsed="false">
      <c r="A26" s="17" t="str">
        <f aca="false">IF(B26="","",ROW()-4)</f>
        <v/>
      </c>
      <c r="B26" s="18"/>
      <c r="C26" s="18"/>
      <c r="D26" s="18"/>
      <c r="E26" s="12"/>
      <c r="F26" s="18"/>
      <c r="G26" s="18"/>
      <c r="H26" s="18"/>
      <c r="I26" s="18"/>
      <c r="J26" s="18"/>
      <c r="K26" s="18"/>
      <c r="L26" s="19"/>
      <c r="M26" s="19"/>
      <c r="N26" s="19"/>
      <c r="O26" s="19"/>
      <c r="P26" s="19"/>
      <c r="Q26" s="19"/>
      <c r="R26" s="6" t="str">
        <f aca="false">IF(B26="","",IF(COUNTIF(L26:Q26,"X")=0,"",IF(COUNTIF(L26:Q26,"X")=COUNTA(Model!$B$12:$B$17),"ALL",_xlfn.TEXTJOIN(", ",TRUE(),IF(L26="X",L$4,""),IF(M26="X",M$4,""),IF(N26="X",N$4,""),IF(O26="X",O$4,""),IF(P26="X",P$4,""),IF(Q26="X",Q$4,"")))))</f>
        <v/>
      </c>
      <c r="S26" s="6" t="str">
        <f aca="false">IF(B26="","",IF(B26&gt;B25+1,"Level skips a step",IF(AND(B26&gt;0,OR(H26="",H26&lt;=0)),"Qty missing or 0",IF(AND(J26="Existing",K26=""),"Existing ID missing",IF(AND(B26=Model!$B$8+1,COUNTIF(L26:Q26,"X")=0),"Not in any variant",IF(AND(NOT(B26=Model!$B$8+1),COUNTIF(L26:Q26,"X")&gt;0),"X outside configured item","OK"))))))</f>
        <v/>
      </c>
    </row>
    <row r="27" customFormat="false" ht="15" hidden="false" customHeight="false" outlineLevel="0" collapsed="false">
      <c r="A27" s="17" t="str">
        <f aca="false">IF(B27="","",ROW()-4)</f>
        <v/>
      </c>
      <c r="B27" s="18"/>
      <c r="C27" s="18"/>
      <c r="D27" s="18"/>
      <c r="E27" s="12"/>
      <c r="F27" s="18"/>
      <c r="G27" s="18"/>
      <c r="H27" s="18"/>
      <c r="I27" s="18"/>
      <c r="J27" s="18"/>
      <c r="K27" s="18"/>
      <c r="L27" s="19"/>
      <c r="M27" s="19"/>
      <c r="N27" s="19"/>
      <c r="O27" s="19"/>
      <c r="P27" s="19"/>
      <c r="Q27" s="19"/>
      <c r="R27" s="6" t="str">
        <f aca="false">IF(B27="","",IF(COUNTIF(L27:Q27,"X")=0,"",IF(COUNTIF(L27:Q27,"X")=COUNTA(Model!$B$12:$B$17),"ALL",_xlfn.TEXTJOIN(", ",TRUE(),IF(L27="X",L$4,""),IF(M27="X",M$4,""),IF(N27="X",N$4,""),IF(O27="X",O$4,""),IF(P27="X",P$4,""),IF(Q27="X",Q$4,"")))))</f>
        <v/>
      </c>
      <c r="S27" s="6" t="str">
        <f aca="false">IF(B27="","",IF(B27&gt;B26+1,"Level skips a step",IF(AND(B27&gt;0,OR(H27="",H27&lt;=0)),"Qty missing or 0",IF(AND(J27="Existing",K27=""),"Existing ID missing",IF(AND(B27=Model!$B$8+1,COUNTIF(L27:Q27,"X")=0),"Not in any variant",IF(AND(NOT(B27=Model!$B$8+1),COUNTIF(L27:Q27,"X")&gt;0),"X outside configured item","OK"))))))</f>
        <v/>
      </c>
    </row>
    <row r="28" customFormat="false" ht="15" hidden="false" customHeight="false" outlineLevel="0" collapsed="false">
      <c r="A28" s="17" t="str">
        <f aca="false">IF(B28="","",ROW()-4)</f>
        <v/>
      </c>
      <c r="B28" s="18"/>
      <c r="C28" s="18"/>
      <c r="D28" s="18"/>
      <c r="E28" s="12"/>
      <c r="F28" s="18"/>
      <c r="G28" s="18"/>
      <c r="H28" s="18"/>
      <c r="I28" s="18"/>
      <c r="J28" s="18"/>
      <c r="K28" s="18"/>
      <c r="L28" s="19"/>
      <c r="M28" s="19"/>
      <c r="N28" s="19"/>
      <c r="O28" s="19"/>
      <c r="P28" s="19"/>
      <c r="Q28" s="19"/>
      <c r="R28" s="6" t="str">
        <f aca="false">IF(B28="","",IF(COUNTIF(L28:Q28,"X")=0,"",IF(COUNTIF(L28:Q28,"X")=COUNTA(Model!$B$12:$B$17),"ALL",_xlfn.TEXTJOIN(", ",TRUE(),IF(L28="X",L$4,""),IF(M28="X",M$4,""),IF(N28="X",N$4,""),IF(O28="X",O$4,""),IF(P28="X",P$4,""),IF(Q28="X",Q$4,"")))))</f>
        <v/>
      </c>
      <c r="S28" s="6" t="str">
        <f aca="false">IF(B28="","",IF(B28&gt;B27+1,"Level skips a step",IF(AND(B28&gt;0,OR(H28="",H28&lt;=0)),"Qty missing or 0",IF(AND(J28="Existing",K28=""),"Existing ID missing",IF(AND(B28=Model!$B$8+1,COUNTIF(L28:Q28,"X")=0),"Not in any variant",IF(AND(NOT(B28=Model!$B$8+1),COUNTIF(L28:Q28,"X")&gt;0),"X outside configured item","OK"))))))</f>
        <v/>
      </c>
    </row>
    <row r="29" customFormat="false" ht="15" hidden="false" customHeight="false" outlineLevel="0" collapsed="false">
      <c r="A29" s="17" t="str">
        <f aca="false">IF(B29="","",ROW()-4)</f>
        <v/>
      </c>
      <c r="B29" s="18"/>
      <c r="C29" s="18"/>
      <c r="D29" s="18"/>
      <c r="E29" s="12"/>
      <c r="F29" s="18"/>
      <c r="G29" s="18"/>
      <c r="H29" s="18"/>
      <c r="I29" s="18"/>
      <c r="J29" s="18"/>
      <c r="K29" s="18"/>
      <c r="L29" s="19"/>
      <c r="M29" s="19"/>
      <c r="N29" s="19"/>
      <c r="O29" s="19"/>
      <c r="P29" s="19"/>
      <c r="Q29" s="19"/>
      <c r="R29" s="6" t="str">
        <f aca="false">IF(B29="","",IF(COUNTIF(L29:Q29,"X")=0,"",IF(COUNTIF(L29:Q29,"X")=COUNTA(Model!$B$12:$B$17),"ALL",_xlfn.TEXTJOIN(", ",TRUE(),IF(L29="X",L$4,""),IF(M29="X",M$4,""),IF(N29="X",N$4,""),IF(O29="X",O$4,""),IF(P29="X",P$4,""),IF(Q29="X",Q$4,"")))))</f>
        <v/>
      </c>
      <c r="S29" s="6" t="str">
        <f aca="false">IF(B29="","",IF(B29&gt;B28+1,"Level skips a step",IF(AND(B29&gt;0,OR(H29="",H29&lt;=0)),"Qty missing or 0",IF(AND(J29="Existing",K29=""),"Existing ID missing",IF(AND(B29=Model!$B$8+1,COUNTIF(L29:Q29,"X")=0),"Not in any variant",IF(AND(NOT(B29=Model!$B$8+1),COUNTIF(L29:Q29,"X")&gt;0),"X outside configured item","OK"))))))</f>
        <v/>
      </c>
    </row>
    <row r="30" customFormat="false" ht="15" hidden="false" customHeight="false" outlineLevel="0" collapsed="false">
      <c r="A30" s="17" t="str">
        <f aca="false">IF(B30="","",ROW()-4)</f>
        <v/>
      </c>
      <c r="B30" s="18"/>
      <c r="C30" s="18"/>
      <c r="D30" s="18"/>
      <c r="E30" s="12"/>
      <c r="F30" s="18"/>
      <c r="G30" s="18"/>
      <c r="H30" s="18"/>
      <c r="I30" s="18"/>
      <c r="J30" s="18"/>
      <c r="K30" s="18"/>
      <c r="L30" s="19"/>
      <c r="M30" s="19"/>
      <c r="N30" s="19"/>
      <c r="O30" s="19"/>
      <c r="P30" s="19"/>
      <c r="Q30" s="19"/>
      <c r="R30" s="6" t="str">
        <f aca="false">IF(B30="","",IF(COUNTIF(L30:Q30,"X")=0,"",IF(COUNTIF(L30:Q30,"X")=COUNTA(Model!$B$12:$B$17),"ALL",_xlfn.TEXTJOIN(", ",TRUE(),IF(L30="X",L$4,""),IF(M30="X",M$4,""),IF(N30="X",N$4,""),IF(O30="X",O$4,""),IF(P30="X",P$4,""),IF(Q30="X",Q$4,"")))))</f>
        <v/>
      </c>
      <c r="S30" s="6" t="str">
        <f aca="false">IF(B30="","",IF(B30&gt;B29+1,"Level skips a step",IF(AND(B30&gt;0,OR(H30="",H30&lt;=0)),"Qty missing or 0",IF(AND(J30="Existing",K30=""),"Existing ID missing",IF(AND(B30=Model!$B$8+1,COUNTIF(L30:Q30,"X")=0),"Not in any variant",IF(AND(NOT(B30=Model!$B$8+1),COUNTIF(L30:Q30,"X")&gt;0),"X outside configured item","OK"))))))</f>
        <v/>
      </c>
    </row>
    <row r="31" customFormat="false" ht="15" hidden="false" customHeight="false" outlineLevel="0" collapsed="false">
      <c r="A31" s="17" t="str">
        <f aca="false">IF(B31="","",ROW()-4)</f>
        <v/>
      </c>
      <c r="B31" s="18"/>
      <c r="C31" s="18"/>
      <c r="D31" s="18"/>
      <c r="E31" s="12"/>
      <c r="F31" s="18"/>
      <c r="G31" s="18"/>
      <c r="H31" s="18"/>
      <c r="I31" s="18"/>
      <c r="J31" s="18"/>
      <c r="K31" s="18"/>
      <c r="L31" s="19"/>
      <c r="M31" s="19"/>
      <c r="N31" s="19"/>
      <c r="O31" s="19"/>
      <c r="P31" s="19"/>
      <c r="Q31" s="19"/>
      <c r="R31" s="6" t="str">
        <f aca="false">IF(B31="","",IF(COUNTIF(L31:Q31,"X")=0,"",IF(COUNTIF(L31:Q31,"X")=COUNTA(Model!$B$12:$B$17),"ALL",_xlfn.TEXTJOIN(", ",TRUE(),IF(L31="X",L$4,""),IF(M31="X",M$4,""),IF(N31="X",N$4,""),IF(O31="X",O$4,""),IF(P31="X",P$4,""),IF(Q31="X",Q$4,"")))))</f>
        <v/>
      </c>
      <c r="S31" s="6" t="str">
        <f aca="false">IF(B31="","",IF(B31&gt;B30+1,"Level skips a step",IF(AND(B31&gt;0,OR(H31="",H31&lt;=0)),"Qty missing or 0",IF(AND(J31="Existing",K31=""),"Existing ID missing",IF(AND(B31=Model!$B$8+1,COUNTIF(L31:Q31,"X")=0),"Not in any variant",IF(AND(NOT(B31=Model!$B$8+1),COUNTIF(L31:Q31,"X")&gt;0),"X outside configured item","OK"))))))</f>
        <v/>
      </c>
    </row>
    <row r="32" customFormat="false" ht="15" hidden="false" customHeight="false" outlineLevel="0" collapsed="false">
      <c r="A32" s="17" t="str">
        <f aca="false">IF(B32="","",ROW()-4)</f>
        <v/>
      </c>
      <c r="B32" s="18"/>
      <c r="C32" s="18"/>
      <c r="D32" s="18"/>
      <c r="E32" s="12"/>
      <c r="F32" s="18"/>
      <c r="G32" s="18"/>
      <c r="H32" s="18"/>
      <c r="I32" s="18"/>
      <c r="J32" s="18"/>
      <c r="K32" s="18"/>
      <c r="L32" s="19"/>
      <c r="M32" s="19"/>
      <c r="N32" s="19"/>
      <c r="O32" s="19"/>
      <c r="P32" s="19"/>
      <c r="Q32" s="19"/>
      <c r="R32" s="6" t="str">
        <f aca="false">IF(B32="","",IF(COUNTIF(L32:Q32,"X")=0,"",IF(COUNTIF(L32:Q32,"X")=COUNTA(Model!$B$12:$B$17),"ALL",_xlfn.TEXTJOIN(", ",TRUE(),IF(L32="X",L$4,""),IF(M32="X",M$4,""),IF(N32="X",N$4,""),IF(O32="X",O$4,""),IF(P32="X",P$4,""),IF(Q32="X",Q$4,"")))))</f>
        <v/>
      </c>
      <c r="S32" s="6" t="str">
        <f aca="false">IF(B32="","",IF(B32&gt;B31+1,"Level skips a step",IF(AND(B32&gt;0,OR(H32="",H32&lt;=0)),"Qty missing or 0",IF(AND(J32="Existing",K32=""),"Existing ID missing",IF(AND(B32=Model!$B$8+1,COUNTIF(L32:Q32,"X")=0),"Not in any variant",IF(AND(NOT(B32=Model!$B$8+1),COUNTIF(L32:Q32,"X")&gt;0),"X outside configured item","OK"))))))</f>
        <v/>
      </c>
    </row>
    <row r="33" customFormat="false" ht="15" hidden="false" customHeight="false" outlineLevel="0" collapsed="false">
      <c r="A33" s="17" t="str">
        <f aca="false">IF(B33="","",ROW()-4)</f>
        <v/>
      </c>
      <c r="B33" s="18"/>
      <c r="C33" s="18"/>
      <c r="D33" s="18"/>
      <c r="E33" s="12"/>
      <c r="F33" s="18"/>
      <c r="G33" s="18"/>
      <c r="H33" s="18"/>
      <c r="I33" s="18"/>
      <c r="J33" s="18"/>
      <c r="K33" s="18"/>
      <c r="L33" s="19"/>
      <c r="M33" s="19"/>
      <c r="N33" s="19"/>
      <c r="O33" s="19"/>
      <c r="P33" s="19"/>
      <c r="Q33" s="19"/>
      <c r="R33" s="6" t="str">
        <f aca="false">IF(B33="","",IF(COUNTIF(L33:Q33,"X")=0,"",IF(COUNTIF(L33:Q33,"X")=COUNTA(Model!$B$12:$B$17),"ALL",_xlfn.TEXTJOIN(", ",TRUE(),IF(L33="X",L$4,""),IF(M33="X",M$4,""),IF(N33="X",N$4,""),IF(O33="X",O$4,""),IF(P33="X",P$4,""),IF(Q33="X",Q$4,"")))))</f>
        <v/>
      </c>
      <c r="S33" s="6" t="str">
        <f aca="false">IF(B33="","",IF(B33&gt;B32+1,"Level skips a step",IF(AND(B33&gt;0,OR(H33="",H33&lt;=0)),"Qty missing or 0",IF(AND(J33="Existing",K33=""),"Existing ID missing",IF(AND(B33=Model!$B$8+1,COUNTIF(L33:Q33,"X")=0),"Not in any variant",IF(AND(NOT(B33=Model!$B$8+1),COUNTIF(L33:Q33,"X")&gt;0),"X outside configured item","OK"))))))</f>
        <v/>
      </c>
    </row>
    <row r="34" customFormat="false" ht="15" hidden="false" customHeight="false" outlineLevel="0" collapsed="false">
      <c r="A34" s="17" t="str">
        <f aca="false">IF(B34="","",ROW()-4)</f>
        <v/>
      </c>
      <c r="B34" s="18"/>
      <c r="C34" s="18"/>
      <c r="D34" s="18"/>
      <c r="E34" s="12"/>
      <c r="F34" s="18"/>
      <c r="G34" s="18"/>
      <c r="H34" s="18"/>
      <c r="I34" s="18"/>
      <c r="J34" s="18"/>
      <c r="K34" s="18"/>
      <c r="L34" s="19"/>
      <c r="M34" s="19"/>
      <c r="N34" s="19"/>
      <c r="O34" s="19"/>
      <c r="P34" s="19"/>
      <c r="Q34" s="19"/>
      <c r="R34" s="6" t="str">
        <f aca="false">IF(B34="","",IF(COUNTIF(L34:Q34,"X")=0,"",IF(COUNTIF(L34:Q34,"X")=COUNTA(Model!$B$12:$B$17),"ALL",_xlfn.TEXTJOIN(", ",TRUE(),IF(L34="X",L$4,""),IF(M34="X",M$4,""),IF(N34="X",N$4,""),IF(O34="X",O$4,""),IF(P34="X",P$4,""),IF(Q34="X",Q$4,"")))))</f>
        <v/>
      </c>
      <c r="S34" s="6" t="str">
        <f aca="false">IF(B34="","",IF(B34&gt;B33+1,"Level skips a step",IF(AND(B34&gt;0,OR(H34="",H34&lt;=0)),"Qty missing or 0",IF(AND(J34="Existing",K34=""),"Existing ID missing",IF(AND(B34=Model!$B$8+1,COUNTIF(L34:Q34,"X")=0),"Not in any variant",IF(AND(NOT(B34=Model!$B$8+1),COUNTIF(L34:Q34,"X")&gt;0),"X outside configured item","OK"))))))</f>
        <v/>
      </c>
    </row>
    <row r="35" customFormat="false" ht="15" hidden="false" customHeight="false" outlineLevel="0" collapsed="false">
      <c r="A35" s="17" t="str">
        <f aca="false">IF(B35="","",ROW()-4)</f>
        <v/>
      </c>
      <c r="B35" s="18"/>
      <c r="C35" s="18"/>
      <c r="D35" s="18"/>
      <c r="E35" s="12"/>
      <c r="F35" s="18"/>
      <c r="G35" s="18"/>
      <c r="H35" s="18"/>
      <c r="I35" s="18"/>
      <c r="J35" s="18"/>
      <c r="K35" s="18"/>
      <c r="L35" s="19"/>
      <c r="M35" s="19"/>
      <c r="N35" s="19"/>
      <c r="O35" s="19"/>
      <c r="P35" s="19"/>
      <c r="Q35" s="19"/>
      <c r="R35" s="6" t="str">
        <f aca="false">IF(B35="","",IF(COUNTIF(L35:Q35,"X")=0,"",IF(COUNTIF(L35:Q35,"X")=COUNTA(Model!$B$12:$B$17),"ALL",_xlfn.TEXTJOIN(", ",TRUE(),IF(L35="X",L$4,""),IF(M35="X",M$4,""),IF(N35="X",N$4,""),IF(O35="X",O$4,""),IF(P35="X",P$4,""),IF(Q35="X",Q$4,"")))))</f>
        <v/>
      </c>
      <c r="S35" s="6" t="str">
        <f aca="false">IF(B35="","",IF(B35&gt;B34+1,"Level skips a step",IF(AND(B35&gt;0,OR(H35="",H35&lt;=0)),"Qty missing or 0",IF(AND(J35="Existing",K35=""),"Existing ID missing",IF(AND(B35=Model!$B$8+1,COUNTIF(L35:Q35,"X")=0),"Not in any variant",IF(AND(NOT(B35=Model!$B$8+1),COUNTIF(L35:Q35,"X")&gt;0),"X outside configured item","OK"))))))</f>
        <v/>
      </c>
    </row>
    <row r="36" customFormat="false" ht="15" hidden="false" customHeight="false" outlineLevel="0" collapsed="false">
      <c r="A36" s="17" t="str">
        <f aca="false">IF(B36="","",ROW()-4)</f>
        <v/>
      </c>
      <c r="B36" s="18"/>
      <c r="C36" s="18"/>
      <c r="D36" s="18"/>
      <c r="E36" s="12"/>
      <c r="F36" s="18"/>
      <c r="G36" s="18"/>
      <c r="H36" s="18"/>
      <c r="I36" s="18"/>
      <c r="J36" s="18"/>
      <c r="K36" s="18"/>
      <c r="L36" s="19"/>
      <c r="M36" s="19"/>
      <c r="N36" s="19"/>
      <c r="O36" s="19"/>
      <c r="P36" s="19"/>
      <c r="Q36" s="19"/>
      <c r="R36" s="6" t="str">
        <f aca="false">IF(B36="","",IF(COUNTIF(L36:Q36,"X")=0,"",IF(COUNTIF(L36:Q36,"X")=COUNTA(Model!$B$12:$B$17),"ALL",_xlfn.TEXTJOIN(", ",TRUE(),IF(L36="X",L$4,""),IF(M36="X",M$4,""),IF(N36="X",N$4,""),IF(O36="X",O$4,""),IF(P36="X",P$4,""),IF(Q36="X",Q$4,"")))))</f>
        <v/>
      </c>
      <c r="S36" s="6" t="str">
        <f aca="false">IF(B36="","",IF(B36&gt;B35+1,"Level skips a step",IF(AND(B36&gt;0,OR(H36="",H36&lt;=0)),"Qty missing or 0",IF(AND(J36="Existing",K36=""),"Existing ID missing",IF(AND(B36=Model!$B$8+1,COUNTIF(L36:Q36,"X")=0),"Not in any variant",IF(AND(NOT(B36=Model!$B$8+1),COUNTIF(L36:Q36,"X")&gt;0),"X outside configured item","OK"))))))</f>
        <v/>
      </c>
    </row>
    <row r="37" customFormat="false" ht="15" hidden="false" customHeight="false" outlineLevel="0" collapsed="false">
      <c r="A37" s="17" t="str">
        <f aca="false">IF(B37="","",ROW()-4)</f>
        <v/>
      </c>
      <c r="B37" s="18"/>
      <c r="C37" s="18"/>
      <c r="D37" s="18"/>
      <c r="E37" s="12"/>
      <c r="F37" s="18"/>
      <c r="G37" s="18"/>
      <c r="H37" s="18"/>
      <c r="I37" s="18"/>
      <c r="J37" s="18"/>
      <c r="K37" s="18"/>
      <c r="L37" s="19"/>
      <c r="M37" s="19"/>
      <c r="N37" s="19"/>
      <c r="O37" s="19"/>
      <c r="P37" s="19"/>
      <c r="Q37" s="19"/>
      <c r="R37" s="6" t="str">
        <f aca="false">IF(B37="","",IF(COUNTIF(L37:Q37,"X")=0,"",IF(COUNTIF(L37:Q37,"X")=COUNTA(Model!$B$12:$B$17),"ALL",_xlfn.TEXTJOIN(", ",TRUE(),IF(L37="X",L$4,""),IF(M37="X",M$4,""),IF(N37="X",N$4,""),IF(O37="X",O$4,""),IF(P37="X",P$4,""),IF(Q37="X",Q$4,"")))))</f>
        <v/>
      </c>
      <c r="S37" s="6" t="str">
        <f aca="false">IF(B37="","",IF(B37&gt;B36+1,"Level skips a step",IF(AND(B37&gt;0,OR(H37="",H37&lt;=0)),"Qty missing or 0",IF(AND(J37="Existing",K37=""),"Existing ID missing",IF(AND(B37=Model!$B$8+1,COUNTIF(L37:Q37,"X")=0),"Not in any variant",IF(AND(NOT(B37=Model!$B$8+1),COUNTIF(L37:Q37,"X")&gt;0),"X outside configured item","OK"))))))</f>
        <v/>
      </c>
    </row>
    <row r="38" customFormat="false" ht="15" hidden="false" customHeight="false" outlineLevel="0" collapsed="false">
      <c r="A38" s="17" t="str">
        <f aca="false">IF(B38="","",ROW()-4)</f>
        <v/>
      </c>
      <c r="B38" s="18"/>
      <c r="C38" s="18"/>
      <c r="D38" s="18"/>
      <c r="E38" s="12"/>
      <c r="F38" s="18"/>
      <c r="G38" s="18"/>
      <c r="H38" s="18"/>
      <c r="I38" s="18"/>
      <c r="J38" s="18"/>
      <c r="K38" s="18"/>
      <c r="L38" s="19"/>
      <c r="M38" s="19"/>
      <c r="N38" s="19"/>
      <c r="O38" s="19"/>
      <c r="P38" s="19"/>
      <c r="Q38" s="19"/>
      <c r="R38" s="6" t="str">
        <f aca="false">IF(B38="","",IF(COUNTIF(L38:Q38,"X")=0,"",IF(COUNTIF(L38:Q38,"X")=COUNTA(Model!$B$12:$B$17),"ALL",_xlfn.TEXTJOIN(", ",TRUE(),IF(L38="X",L$4,""),IF(M38="X",M$4,""),IF(N38="X",N$4,""),IF(O38="X",O$4,""),IF(P38="X",P$4,""),IF(Q38="X",Q$4,"")))))</f>
        <v/>
      </c>
      <c r="S38" s="6" t="str">
        <f aca="false">IF(B38="","",IF(B38&gt;B37+1,"Level skips a step",IF(AND(B38&gt;0,OR(H38="",H38&lt;=0)),"Qty missing or 0",IF(AND(J38="Existing",K38=""),"Existing ID missing",IF(AND(B38=Model!$B$8+1,COUNTIF(L38:Q38,"X")=0),"Not in any variant",IF(AND(NOT(B38=Model!$B$8+1),COUNTIF(L38:Q38,"X")&gt;0),"X outside configured item","OK"))))))</f>
        <v/>
      </c>
    </row>
    <row r="39" customFormat="false" ht="15" hidden="false" customHeight="false" outlineLevel="0" collapsed="false">
      <c r="A39" s="17" t="str">
        <f aca="false">IF(B39="","",ROW()-4)</f>
        <v/>
      </c>
      <c r="B39" s="18"/>
      <c r="C39" s="18"/>
      <c r="D39" s="18"/>
      <c r="E39" s="12"/>
      <c r="F39" s="18"/>
      <c r="G39" s="18"/>
      <c r="H39" s="18"/>
      <c r="I39" s="18"/>
      <c r="J39" s="18"/>
      <c r="K39" s="18"/>
      <c r="L39" s="19"/>
      <c r="M39" s="19"/>
      <c r="N39" s="19"/>
      <c r="O39" s="19"/>
      <c r="P39" s="19"/>
      <c r="Q39" s="19"/>
      <c r="R39" s="6" t="str">
        <f aca="false">IF(B39="","",IF(COUNTIF(L39:Q39,"X")=0,"",IF(COUNTIF(L39:Q39,"X")=COUNTA(Model!$B$12:$B$17),"ALL",_xlfn.TEXTJOIN(", ",TRUE(),IF(L39="X",L$4,""),IF(M39="X",M$4,""),IF(N39="X",N$4,""),IF(O39="X",O$4,""),IF(P39="X",P$4,""),IF(Q39="X",Q$4,"")))))</f>
        <v/>
      </c>
      <c r="S39" s="6" t="str">
        <f aca="false">IF(B39="","",IF(B39&gt;B38+1,"Level skips a step",IF(AND(B39&gt;0,OR(H39="",H39&lt;=0)),"Qty missing or 0",IF(AND(J39="Existing",K39=""),"Existing ID missing",IF(AND(B39=Model!$B$8+1,COUNTIF(L39:Q39,"X")=0),"Not in any variant",IF(AND(NOT(B39=Model!$B$8+1),COUNTIF(L39:Q39,"X")&gt;0),"X outside configured item","OK"))))))</f>
        <v/>
      </c>
    </row>
    <row r="40" customFormat="false" ht="15" hidden="false" customHeight="false" outlineLevel="0" collapsed="false">
      <c r="A40" s="17" t="str">
        <f aca="false">IF(B40="","",ROW()-4)</f>
        <v/>
      </c>
      <c r="B40" s="18"/>
      <c r="C40" s="18"/>
      <c r="D40" s="18"/>
      <c r="E40" s="12"/>
      <c r="F40" s="18"/>
      <c r="G40" s="18"/>
      <c r="H40" s="18"/>
      <c r="I40" s="18"/>
      <c r="J40" s="18"/>
      <c r="K40" s="18"/>
      <c r="L40" s="19"/>
      <c r="M40" s="19"/>
      <c r="N40" s="19"/>
      <c r="O40" s="19"/>
      <c r="P40" s="19"/>
      <c r="Q40" s="19"/>
      <c r="R40" s="6" t="str">
        <f aca="false">IF(B40="","",IF(COUNTIF(L40:Q40,"X")=0,"",IF(COUNTIF(L40:Q40,"X")=COUNTA(Model!$B$12:$B$17),"ALL",_xlfn.TEXTJOIN(", ",TRUE(),IF(L40="X",L$4,""),IF(M40="X",M$4,""),IF(N40="X",N$4,""),IF(O40="X",O$4,""),IF(P40="X",P$4,""),IF(Q40="X",Q$4,"")))))</f>
        <v/>
      </c>
      <c r="S40" s="6" t="str">
        <f aca="false">IF(B40="","",IF(B40&gt;B39+1,"Level skips a step",IF(AND(B40&gt;0,OR(H40="",H40&lt;=0)),"Qty missing or 0",IF(AND(J40="Existing",K40=""),"Existing ID missing",IF(AND(B40=Model!$B$8+1,COUNTIF(L40:Q40,"X")=0),"Not in any variant",IF(AND(NOT(B40=Model!$B$8+1),COUNTIF(L40:Q40,"X")&gt;0),"X outside configured item","OK"))))))</f>
        <v/>
      </c>
    </row>
    <row r="41" customFormat="false" ht="15" hidden="false" customHeight="false" outlineLevel="0" collapsed="false">
      <c r="A41" s="17" t="str">
        <f aca="false">IF(B41="","",ROW()-4)</f>
        <v/>
      </c>
      <c r="B41" s="18"/>
      <c r="C41" s="18"/>
      <c r="D41" s="18"/>
      <c r="E41" s="12"/>
      <c r="F41" s="18"/>
      <c r="G41" s="18"/>
      <c r="H41" s="18"/>
      <c r="I41" s="18"/>
      <c r="J41" s="18"/>
      <c r="K41" s="18"/>
      <c r="L41" s="19"/>
      <c r="M41" s="19"/>
      <c r="N41" s="19"/>
      <c r="O41" s="19"/>
      <c r="P41" s="19"/>
      <c r="Q41" s="19"/>
      <c r="R41" s="6" t="str">
        <f aca="false">IF(B41="","",IF(COUNTIF(L41:Q41,"X")=0,"",IF(COUNTIF(L41:Q41,"X")=COUNTA(Model!$B$12:$B$17),"ALL",_xlfn.TEXTJOIN(", ",TRUE(),IF(L41="X",L$4,""),IF(M41="X",M$4,""),IF(N41="X",N$4,""),IF(O41="X",O$4,""),IF(P41="X",P$4,""),IF(Q41="X",Q$4,"")))))</f>
        <v/>
      </c>
      <c r="S41" s="6" t="str">
        <f aca="false">IF(B41="","",IF(B41&gt;B40+1,"Level skips a step",IF(AND(B41&gt;0,OR(H41="",H41&lt;=0)),"Qty missing or 0",IF(AND(J41="Existing",K41=""),"Existing ID missing",IF(AND(B41=Model!$B$8+1,COUNTIF(L41:Q41,"X")=0),"Not in any variant",IF(AND(NOT(B41=Model!$B$8+1),COUNTIF(L41:Q41,"X")&gt;0),"X outside configured item","OK"))))))</f>
        <v/>
      </c>
    </row>
    <row r="42" customFormat="false" ht="15" hidden="false" customHeight="false" outlineLevel="0" collapsed="false">
      <c r="A42" s="17" t="str">
        <f aca="false">IF(B42="","",ROW()-4)</f>
        <v/>
      </c>
      <c r="B42" s="18"/>
      <c r="C42" s="18"/>
      <c r="D42" s="18"/>
      <c r="E42" s="12"/>
      <c r="F42" s="18"/>
      <c r="G42" s="18"/>
      <c r="H42" s="18"/>
      <c r="I42" s="18"/>
      <c r="J42" s="18"/>
      <c r="K42" s="18"/>
      <c r="L42" s="19"/>
      <c r="M42" s="19"/>
      <c r="N42" s="19"/>
      <c r="O42" s="19"/>
      <c r="P42" s="19"/>
      <c r="Q42" s="19"/>
      <c r="R42" s="6" t="str">
        <f aca="false">IF(B42="","",IF(COUNTIF(L42:Q42,"X")=0,"",IF(COUNTIF(L42:Q42,"X")=COUNTA(Model!$B$12:$B$17),"ALL",_xlfn.TEXTJOIN(", ",TRUE(),IF(L42="X",L$4,""),IF(M42="X",M$4,""),IF(N42="X",N$4,""),IF(O42="X",O$4,""),IF(P42="X",P$4,""),IF(Q42="X",Q$4,"")))))</f>
        <v/>
      </c>
      <c r="S42" s="6" t="str">
        <f aca="false">IF(B42="","",IF(B42&gt;B41+1,"Level skips a step",IF(AND(B42&gt;0,OR(H42="",H42&lt;=0)),"Qty missing or 0",IF(AND(J42="Existing",K42=""),"Existing ID missing",IF(AND(B42=Model!$B$8+1,COUNTIF(L42:Q42,"X")=0),"Not in any variant",IF(AND(NOT(B42=Model!$B$8+1),COUNTIF(L42:Q42,"X")&gt;0),"X outside configured item","OK"))))))</f>
        <v/>
      </c>
    </row>
    <row r="43" customFormat="false" ht="15" hidden="false" customHeight="false" outlineLevel="0" collapsed="false">
      <c r="A43" s="17" t="str">
        <f aca="false">IF(B43="","",ROW()-4)</f>
        <v/>
      </c>
      <c r="B43" s="18"/>
      <c r="C43" s="18"/>
      <c r="D43" s="18"/>
      <c r="E43" s="12"/>
      <c r="F43" s="18"/>
      <c r="G43" s="18"/>
      <c r="H43" s="18"/>
      <c r="I43" s="18"/>
      <c r="J43" s="18"/>
      <c r="K43" s="18"/>
      <c r="L43" s="19"/>
      <c r="M43" s="19"/>
      <c r="N43" s="19"/>
      <c r="O43" s="19"/>
      <c r="P43" s="19"/>
      <c r="Q43" s="19"/>
      <c r="R43" s="6" t="str">
        <f aca="false">IF(B43="","",IF(COUNTIF(L43:Q43,"X")=0,"",IF(COUNTIF(L43:Q43,"X")=COUNTA(Model!$B$12:$B$17),"ALL",_xlfn.TEXTJOIN(", ",TRUE(),IF(L43="X",L$4,""),IF(M43="X",M$4,""),IF(N43="X",N$4,""),IF(O43="X",O$4,""),IF(P43="X",P$4,""),IF(Q43="X",Q$4,"")))))</f>
        <v/>
      </c>
      <c r="S43" s="6" t="str">
        <f aca="false">IF(B43="","",IF(B43&gt;B42+1,"Level skips a step",IF(AND(B43&gt;0,OR(H43="",H43&lt;=0)),"Qty missing or 0",IF(AND(J43="Existing",K43=""),"Existing ID missing",IF(AND(B43=Model!$B$8+1,COUNTIF(L43:Q43,"X")=0),"Not in any variant",IF(AND(NOT(B43=Model!$B$8+1),COUNTIF(L43:Q43,"X")&gt;0),"X outside configured item","OK"))))))</f>
        <v/>
      </c>
    </row>
    <row r="44" customFormat="false" ht="15" hidden="false" customHeight="false" outlineLevel="0" collapsed="false">
      <c r="A44" s="17" t="str">
        <f aca="false">IF(B44="","",ROW()-4)</f>
        <v/>
      </c>
      <c r="B44" s="18"/>
      <c r="C44" s="18"/>
      <c r="D44" s="18"/>
      <c r="E44" s="12"/>
      <c r="F44" s="18"/>
      <c r="G44" s="18"/>
      <c r="H44" s="18"/>
      <c r="I44" s="18"/>
      <c r="J44" s="18"/>
      <c r="K44" s="18"/>
      <c r="L44" s="19"/>
      <c r="M44" s="19"/>
      <c r="N44" s="19"/>
      <c r="O44" s="19"/>
      <c r="P44" s="19"/>
      <c r="Q44" s="19"/>
      <c r="R44" s="6" t="str">
        <f aca="false">IF(B44="","",IF(COUNTIF(L44:Q44,"X")=0,"",IF(COUNTIF(L44:Q44,"X")=COUNTA(Model!$B$12:$B$17),"ALL",_xlfn.TEXTJOIN(", ",TRUE(),IF(L44="X",L$4,""),IF(M44="X",M$4,""),IF(N44="X",N$4,""),IF(O44="X",O$4,""),IF(P44="X",P$4,""),IF(Q44="X",Q$4,"")))))</f>
        <v/>
      </c>
      <c r="S44" s="6" t="str">
        <f aca="false">IF(B44="","",IF(B44&gt;B43+1,"Level skips a step",IF(AND(B44&gt;0,OR(H44="",H44&lt;=0)),"Qty missing or 0",IF(AND(J44="Existing",K44=""),"Existing ID missing",IF(AND(B44=Model!$B$8+1,COUNTIF(L44:Q44,"X")=0),"Not in any variant",IF(AND(NOT(B44=Model!$B$8+1),COUNTIF(L44:Q44,"X")&gt;0),"X outside configured item","OK"))))))</f>
        <v/>
      </c>
    </row>
    <row r="45" customFormat="false" ht="15" hidden="false" customHeight="false" outlineLevel="0" collapsed="false">
      <c r="A45" s="17" t="str">
        <f aca="false">IF(B45="","",ROW()-4)</f>
        <v/>
      </c>
      <c r="B45" s="18"/>
      <c r="C45" s="18"/>
      <c r="D45" s="18"/>
      <c r="E45" s="12"/>
      <c r="F45" s="18"/>
      <c r="G45" s="18"/>
      <c r="H45" s="18"/>
      <c r="I45" s="18"/>
      <c r="J45" s="18"/>
      <c r="K45" s="18"/>
      <c r="L45" s="19"/>
      <c r="M45" s="19"/>
      <c r="N45" s="19"/>
      <c r="O45" s="19"/>
      <c r="P45" s="19"/>
      <c r="Q45" s="19"/>
      <c r="R45" s="6" t="str">
        <f aca="false">IF(B45="","",IF(COUNTIF(L45:Q45,"X")=0,"",IF(COUNTIF(L45:Q45,"X")=COUNTA(Model!$B$12:$B$17),"ALL",_xlfn.TEXTJOIN(", ",TRUE(),IF(L45="X",L$4,""),IF(M45="X",M$4,""),IF(N45="X",N$4,""),IF(O45="X",O$4,""),IF(P45="X",P$4,""),IF(Q45="X",Q$4,"")))))</f>
        <v/>
      </c>
      <c r="S45" s="6" t="str">
        <f aca="false">IF(B45="","",IF(B45&gt;B44+1,"Level skips a step",IF(AND(B45&gt;0,OR(H45="",H45&lt;=0)),"Qty missing or 0",IF(AND(J45="Existing",K45=""),"Existing ID missing",IF(AND(B45=Model!$B$8+1,COUNTIF(L45:Q45,"X")=0),"Not in any variant",IF(AND(NOT(B45=Model!$B$8+1),COUNTIF(L45:Q45,"X")&gt;0),"X outside configured item","OK"))))))</f>
        <v/>
      </c>
    </row>
    <row r="46" customFormat="false" ht="15" hidden="false" customHeight="false" outlineLevel="0" collapsed="false">
      <c r="A46" s="17" t="str">
        <f aca="false">IF(B46="","",ROW()-4)</f>
        <v/>
      </c>
      <c r="B46" s="18"/>
      <c r="C46" s="18"/>
      <c r="D46" s="18"/>
      <c r="E46" s="12"/>
      <c r="F46" s="18"/>
      <c r="G46" s="18"/>
      <c r="H46" s="18"/>
      <c r="I46" s="18"/>
      <c r="J46" s="18"/>
      <c r="K46" s="18"/>
      <c r="L46" s="19"/>
      <c r="M46" s="19"/>
      <c r="N46" s="19"/>
      <c r="O46" s="19"/>
      <c r="P46" s="19"/>
      <c r="Q46" s="19"/>
      <c r="R46" s="6" t="str">
        <f aca="false">IF(B46="","",IF(COUNTIF(L46:Q46,"X")=0,"",IF(COUNTIF(L46:Q46,"X")=COUNTA(Model!$B$12:$B$17),"ALL",_xlfn.TEXTJOIN(", ",TRUE(),IF(L46="X",L$4,""),IF(M46="X",M$4,""),IF(N46="X",N$4,""),IF(O46="X",O$4,""),IF(P46="X",P$4,""),IF(Q46="X",Q$4,"")))))</f>
        <v/>
      </c>
      <c r="S46" s="6" t="str">
        <f aca="false">IF(B46="","",IF(B46&gt;B45+1,"Level skips a step",IF(AND(B46&gt;0,OR(H46="",H46&lt;=0)),"Qty missing or 0",IF(AND(J46="Existing",K46=""),"Existing ID missing",IF(AND(B46=Model!$B$8+1,COUNTIF(L46:Q46,"X")=0),"Not in any variant",IF(AND(NOT(B46=Model!$B$8+1),COUNTIF(L46:Q46,"X")&gt;0),"X outside configured item","OK"))))))</f>
        <v/>
      </c>
    </row>
    <row r="47" customFormat="false" ht="15" hidden="false" customHeight="false" outlineLevel="0" collapsed="false">
      <c r="A47" s="17" t="str">
        <f aca="false">IF(B47="","",ROW()-4)</f>
        <v/>
      </c>
      <c r="B47" s="18"/>
      <c r="C47" s="18"/>
      <c r="D47" s="18"/>
      <c r="E47" s="12"/>
      <c r="F47" s="18"/>
      <c r="G47" s="18"/>
      <c r="H47" s="18"/>
      <c r="I47" s="18"/>
      <c r="J47" s="18"/>
      <c r="K47" s="18"/>
      <c r="L47" s="19"/>
      <c r="M47" s="19"/>
      <c r="N47" s="19"/>
      <c r="O47" s="19"/>
      <c r="P47" s="19"/>
      <c r="Q47" s="19"/>
      <c r="R47" s="6" t="str">
        <f aca="false">IF(B47="","",IF(COUNTIF(L47:Q47,"X")=0,"",IF(COUNTIF(L47:Q47,"X")=COUNTA(Model!$B$12:$B$17),"ALL",_xlfn.TEXTJOIN(", ",TRUE(),IF(L47="X",L$4,""),IF(M47="X",M$4,""),IF(N47="X",N$4,""),IF(O47="X",O$4,""),IF(P47="X",P$4,""),IF(Q47="X",Q$4,"")))))</f>
        <v/>
      </c>
      <c r="S47" s="6" t="str">
        <f aca="false">IF(B47="","",IF(B47&gt;B46+1,"Level skips a step",IF(AND(B47&gt;0,OR(H47="",H47&lt;=0)),"Qty missing or 0",IF(AND(J47="Existing",K47=""),"Existing ID missing",IF(AND(B47=Model!$B$8+1,COUNTIF(L47:Q47,"X")=0),"Not in any variant",IF(AND(NOT(B47=Model!$B$8+1),COUNTIF(L47:Q47,"X")&gt;0),"X outside configured item","OK"))))))</f>
        <v/>
      </c>
    </row>
    <row r="48" customFormat="false" ht="15" hidden="false" customHeight="false" outlineLevel="0" collapsed="false">
      <c r="A48" s="17" t="str">
        <f aca="false">IF(B48="","",ROW()-4)</f>
        <v/>
      </c>
      <c r="B48" s="18"/>
      <c r="C48" s="18"/>
      <c r="D48" s="18"/>
      <c r="E48" s="12"/>
      <c r="F48" s="18"/>
      <c r="G48" s="18"/>
      <c r="H48" s="18"/>
      <c r="I48" s="18"/>
      <c r="J48" s="18"/>
      <c r="K48" s="18"/>
      <c r="L48" s="19"/>
      <c r="M48" s="19"/>
      <c r="N48" s="19"/>
      <c r="O48" s="19"/>
      <c r="P48" s="19"/>
      <c r="Q48" s="19"/>
      <c r="R48" s="6" t="str">
        <f aca="false">IF(B48="","",IF(COUNTIF(L48:Q48,"X")=0,"",IF(COUNTIF(L48:Q48,"X")=COUNTA(Model!$B$12:$B$17),"ALL",_xlfn.TEXTJOIN(", ",TRUE(),IF(L48="X",L$4,""),IF(M48="X",M$4,""),IF(N48="X",N$4,""),IF(O48="X",O$4,""),IF(P48="X",P$4,""),IF(Q48="X",Q$4,"")))))</f>
        <v/>
      </c>
      <c r="S48" s="6" t="str">
        <f aca="false">IF(B48="","",IF(B48&gt;B47+1,"Level skips a step",IF(AND(B48&gt;0,OR(H48="",H48&lt;=0)),"Qty missing or 0",IF(AND(J48="Existing",K48=""),"Existing ID missing",IF(AND(B48=Model!$B$8+1,COUNTIF(L48:Q48,"X")=0),"Not in any variant",IF(AND(NOT(B48=Model!$B$8+1),COUNTIF(L48:Q48,"X")&gt;0),"X outside configured item","OK"))))))</f>
        <v/>
      </c>
    </row>
    <row r="49" customFormat="false" ht="15" hidden="false" customHeight="false" outlineLevel="0" collapsed="false">
      <c r="A49" s="17" t="str">
        <f aca="false">IF(B49="","",ROW()-4)</f>
        <v/>
      </c>
      <c r="B49" s="18"/>
      <c r="C49" s="18"/>
      <c r="D49" s="18"/>
      <c r="E49" s="12"/>
      <c r="F49" s="18"/>
      <c r="G49" s="18"/>
      <c r="H49" s="18"/>
      <c r="I49" s="18"/>
      <c r="J49" s="18"/>
      <c r="K49" s="18"/>
      <c r="L49" s="19"/>
      <c r="M49" s="19"/>
      <c r="N49" s="19"/>
      <c r="O49" s="19"/>
      <c r="P49" s="19"/>
      <c r="Q49" s="19"/>
      <c r="R49" s="6" t="str">
        <f aca="false">IF(B49="","",IF(COUNTIF(L49:Q49,"X")=0,"",IF(COUNTIF(L49:Q49,"X")=COUNTA(Model!$B$12:$B$17),"ALL",_xlfn.TEXTJOIN(", ",TRUE(),IF(L49="X",L$4,""),IF(M49="X",M$4,""),IF(N49="X",N$4,""),IF(O49="X",O$4,""),IF(P49="X",P$4,""),IF(Q49="X",Q$4,"")))))</f>
        <v/>
      </c>
      <c r="S49" s="6" t="str">
        <f aca="false">IF(B49="","",IF(B49&gt;B48+1,"Level skips a step",IF(AND(B49&gt;0,OR(H49="",H49&lt;=0)),"Qty missing or 0",IF(AND(J49="Existing",K49=""),"Existing ID missing",IF(AND(B49=Model!$B$8+1,COUNTIF(L49:Q49,"X")=0),"Not in any variant",IF(AND(NOT(B49=Model!$B$8+1),COUNTIF(L49:Q49,"X")&gt;0),"X outside configured item","OK"))))))</f>
        <v/>
      </c>
    </row>
    <row r="50" customFormat="false" ht="15" hidden="false" customHeight="false" outlineLevel="0" collapsed="false">
      <c r="A50" s="17" t="str">
        <f aca="false">IF(B50="","",ROW()-4)</f>
        <v/>
      </c>
      <c r="B50" s="18"/>
      <c r="C50" s="18"/>
      <c r="D50" s="18"/>
      <c r="E50" s="12"/>
      <c r="F50" s="18"/>
      <c r="G50" s="18"/>
      <c r="H50" s="18"/>
      <c r="I50" s="18"/>
      <c r="J50" s="18"/>
      <c r="K50" s="18"/>
      <c r="L50" s="19"/>
      <c r="M50" s="19"/>
      <c r="N50" s="19"/>
      <c r="O50" s="19"/>
      <c r="P50" s="19"/>
      <c r="Q50" s="19"/>
      <c r="R50" s="6" t="str">
        <f aca="false">IF(B50="","",IF(COUNTIF(L50:Q50,"X")=0,"",IF(COUNTIF(L50:Q50,"X")=COUNTA(Model!$B$12:$B$17),"ALL",_xlfn.TEXTJOIN(", ",TRUE(),IF(L50="X",L$4,""),IF(M50="X",M$4,""),IF(N50="X",N$4,""),IF(O50="X",O$4,""),IF(P50="X",P$4,""),IF(Q50="X",Q$4,"")))))</f>
        <v/>
      </c>
      <c r="S50" s="6" t="str">
        <f aca="false">IF(B50="","",IF(B50&gt;B49+1,"Level skips a step",IF(AND(B50&gt;0,OR(H50="",H50&lt;=0)),"Qty missing or 0",IF(AND(J50="Existing",K50=""),"Existing ID missing",IF(AND(B50=Model!$B$8+1,COUNTIF(L50:Q50,"X")=0),"Not in any variant",IF(AND(NOT(B50=Model!$B$8+1),COUNTIF(L50:Q50,"X")&gt;0),"X outside configured item","OK"))))))</f>
        <v/>
      </c>
    </row>
    <row r="51" customFormat="false" ht="15" hidden="false" customHeight="false" outlineLevel="0" collapsed="false">
      <c r="A51" s="17" t="str">
        <f aca="false">IF(B51="","",ROW()-4)</f>
        <v/>
      </c>
      <c r="B51" s="18"/>
      <c r="C51" s="18"/>
      <c r="D51" s="18"/>
      <c r="E51" s="12"/>
      <c r="F51" s="18"/>
      <c r="G51" s="18"/>
      <c r="H51" s="18"/>
      <c r="I51" s="18"/>
      <c r="J51" s="18"/>
      <c r="K51" s="18"/>
      <c r="L51" s="19"/>
      <c r="M51" s="19"/>
      <c r="N51" s="19"/>
      <c r="O51" s="19"/>
      <c r="P51" s="19"/>
      <c r="Q51" s="19"/>
      <c r="R51" s="6" t="str">
        <f aca="false">IF(B51="","",IF(COUNTIF(L51:Q51,"X")=0,"",IF(COUNTIF(L51:Q51,"X")=COUNTA(Model!$B$12:$B$17),"ALL",_xlfn.TEXTJOIN(", ",TRUE(),IF(L51="X",L$4,""),IF(M51="X",M$4,""),IF(N51="X",N$4,""),IF(O51="X",O$4,""),IF(P51="X",P$4,""),IF(Q51="X",Q$4,"")))))</f>
        <v/>
      </c>
      <c r="S51" s="6" t="str">
        <f aca="false">IF(B51="","",IF(B51&gt;B50+1,"Level skips a step",IF(AND(B51&gt;0,OR(H51="",H51&lt;=0)),"Qty missing or 0",IF(AND(J51="Existing",K51=""),"Existing ID missing",IF(AND(B51=Model!$B$8+1,COUNTIF(L51:Q51,"X")=0),"Not in any variant",IF(AND(NOT(B51=Model!$B$8+1),COUNTIF(L51:Q51,"X")&gt;0),"X outside configured item","OK"))))))</f>
        <v/>
      </c>
    </row>
    <row r="52" customFormat="false" ht="15" hidden="false" customHeight="false" outlineLevel="0" collapsed="false">
      <c r="A52" s="17" t="str">
        <f aca="false">IF(B52="","",ROW()-4)</f>
        <v/>
      </c>
      <c r="B52" s="18"/>
      <c r="C52" s="18"/>
      <c r="D52" s="18"/>
      <c r="E52" s="12"/>
      <c r="F52" s="18"/>
      <c r="G52" s="18"/>
      <c r="H52" s="18"/>
      <c r="I52" s="18"/>
      <c r="J52" s="18"/>
      <c r="K52" s="18"/>
      <c r="L52" s="19"/>
      <c r="M52" s="19"/>
      <c r="N52" s="19"/>
      <c r="O52" s="19"/>
      <c r="P52" s="19"/>
      <c r="Q52" s="19"/>
      <c r="R52" s="6" t="str">
        <f aca="false">IF(B52="","",IF(COUNTIF(L52:Q52,"X")=0,"",IF(COUNTIF(L52:Q52,"X")=COUNTA(Model!$B$12:$B$17),"ALL",_xlfn.TEXTJOIN(", ",TRUE(),IF(L52="X",L$4,""),IF(M52="X",M$4,""),IF(N52="X",N$4,""),IF(O52="X",O$4,""),IF(P52="X",P$4,""),IF(Q52="X",Q$4,"")))))</f>
        <v/>
      </c>
      <c r="S52" s="6" t="str">
        <f aca="false">IF(B52="","",IF(B52&gt;B51+1,"Level skips a step",IF(AND(B52&gt;0,OR(H52="",H52&lt;=0)),"Qty missing or 0",IF(AND(J52="Existing",K52=""),"Existing ID missing",IF(AND(B52=Model!$B$8+1,COUNTIF(L52:Q52,"X")=0),"Not in any variant",IF(AND(NOT(B52=Model!$B$8+1),COUNTIF(L52:Q52,"X")&gt;0),"X outside configured item","OK"))))))</f>
        <v/>
      </c>
    </row>
    <row r="53" customFormat="false" ht="15" hidden="false" customHeight="false" outlineLevel="0" collapsed="false">
      <c r="A53" s="17" t="str">
        <f aca="false">IF(B53="","",ROW()-4)</f>
        <v/>
      </c>
      <c r="B53" s="18"/>
      <c r="C53" s="18"/>
      <c r="D53" s="18"/>
      <c r="E53" s="12"/>
      <c r="F53" s="18"/>
      <c r="G53" s="18"/>
      <c r="H53" s="18"/>
      <c r="I53" s="18"/>
      <c r="J53" s="18"/>
      <c r="K53" s="18"/>
      <c r="L53" s="19"/>
      <c r="M53" s="19"/>
      <c r="N53" s="19"/>
      <c r="O53" s="19"/>
      <c r="P53" s="19"/>
      <c r="Q53" s="19"/>
      <c r="R53" s="6" t="str">
        <f aca="false">IF(B53="","",IF(COUNTIF(L53:Q53,"X")=0,"",IF(COUNTIF(L53:Q53,"X")=COUNTA(Model!$B$12:$B$17),"ALL",_xlfn.TEXTJOIN(", ",TRUE(),IF(L53="X",L$4,""),IF(M53="X",M$4,""),IF(N53="X",N$4,""),IF(O53="X",O$4,""),IF(P53="X",P$4,""),IF(Q53="X",Q$4,"")))))</f>
        <v/>
      </c>
      <c r="S53" s="6" t="str">
        <f aca="false">IF(B53="","",IF(B53&gt;B52+1,"Level skips a step",IF(AND(B53&gt;0,OR(H53="",H53&lt;=0)),"Qty missing or 0",IF(AND(J53="Existing",K53=""),"Existing ID missing",IF(AND(B53=Model!$B$8+1,COUNTIF(L53:Q53,"X")=0),"Not in any variant",IF(AND(NOT(B53=Model!$B$8+1),COUNTIF(L53:Q53,"X")&gt;0),"X outside configured item","OK"))))))</f>
        <v/>
      </c>
    </row>
    <row r="54" customFormat="false" ht="15" hidden="false" customHeight="false" outlineLevel="0" collapsed="false">
      <c r="A54" s="17" t="str">
        <f aca="false">IF(B54="","",ROW()-4)</f>
        <v/>
      </c>
      <c r="B54" s="18"/>
      <c r="C54" s="18"/>
      <c r="D54" s="18"/>
      <c r="E54" s="12"/>
      <c r="F54" s="18"/>
      <c r="G54" s="18"/>
      <c r="H54" s="18"/>
      <c r="I54" s="18"/>
      <c r="J54" s="18"/>
      <c r="K54" s="18"/>
      <c r="L54" s="19"/>
      <c r="M54" s="19"/>
      <c r="N54" s="19"/>
      <c r="O54" s="19"/>
      <c r="P54" s="19"/>
      <c r="Q54" s="19"/>
      <c r="R54" s="6" t="str">
        <f aca="false">IF(B54="","",IF(COUNTIF(L54:Q54,"X")=0,"",IF(COUNTIF(L54:Q54,"X")=COUNTA(Model!$B$12:$B$17),"ALL",_xlfn.TEXTJOIN(", ",TRUE(),IF(L54="X",L$4,""),IF(M54="X",M$4,""),IF(N54="X",N$4,""),IF(O54="X",O$4,""),IF(P54="X",P$4,""),IF(Q54="X",Q$4,"")))))</f>
        <v/>
      </c>
      <c r="S54" s="6" t="str">
        <f aca="false">IF(B54="","",IF(B54&gt;B53+1,"Level skips a step",IF(AND(B54&gt;0,OR(H54="",H54&lt;=0)),"Qty missing or 0",IF(AND(J54="Existing",K54=""),"Existing ID missing",IF(AND(B54=Model!$B$8+1,COUNTIF(L54:Q54,"X")=0),"Not in any variant",IF(AND(NOT(B54=Model!$B$8+1),COUNTIF(L54:Q54,"X")&gt;0),"X outside configured item","OK"))))))</f>
        <v/>
      </c>
    </row>
    <row r="55" customFormat="false" ht="15" hidden="false" customHeight="false" outlineLevel="0" collapsed="false">
      <c r="A55" s="17" t="str">
        <f aca="false">IF(B55="","",ROW()-4)</f>
        <v/>
      </c>
      <c r="B55" s="18"/>
      <c r="C55" s="18"/>
      <c r="D55" s="18"/>
      <c r="E55" s="12"/>
      <c r="F55" s="18"/>
      <c r="G55" s="18"/>
      <c r="H55" s="18"/>
      <c r="I55" s="18"/>
      <c r="J55" s="18"/>
      <c r="K55" s="18"/>
      <c r="L55" s="19"/>
      <c r="M55" s="19"/>
      <c r="N55" s="19"/>
      <c r="O55" s="19"/>
      <c r="P55" s="19"/>
      <c r="Q55" s="19"/>
      <c r="R55" s="6" t="str">
        <f aca="false">IF(B55="","",IF(COUNTIF(L55:Q55,"X")=0,"",IF(COUNTIF(L55:Q55,"X")=COUNTA(Model!$B$12:$B$17),"ALL",_xlfn.TEXTJOIN(", ",TRUE(),IF(L55="X",L$4,""),IF(M55="X",M$4,""),IF(N55="X",N$4,""),IF(O55="X",O$4,""),IF(P55="X",P$4,""),IF(Q55="X",Q$4,"")))))</f>
        <v/>
      </c>
      <c r="S55" s="6" t="str">
        <f aca="false">IF(B55="","",IF(B55&gt;B54+1,"Level skips a step",IF(AND(B55&gt;0,OR(H55="",H55&lt;=0)),"Qty missing or 0",IF(AND(J55="Existing",K55=""),"Existing ID missing",IF(AND(B55=Model!$B$8+1,COUNTIF(L55:Q55,"X")=0),"Not in any variant",IF(AND(NOT(B55=Model!$B$8+1),COUNTIF(L55:Q55,"X")&gt;0),"X outside configured item","OK"))))))</f>
        <v/>
      </c>
    </row>
    <row r="56" customFormat="false" ht="15" hidden="false" customHeight="false" outlineLevel="0" collapsed="false">
      <c r="A56" s="17" t="str">
        <f aca="false">IF(B56="","",ROW()-4)</f>
        <v/>
      </c>
      <c r="B56" s="18"/>
      <c r="C56" s="18"/>
      <c r="D56" s="18"/>
      <c r="E56" s="12"/>
      <c r="F56" s="18"/>
      <c r="G56" s="18"/>
      <c r="H56" s="18"/>
      <c r="I56" s="18"/>
      <c r="J56" s="18"/>
      <c r="K56" s="18"/>
      <c r="L56" s="19"/>
      <c r="M56" s="19"/>
      <c r="N56" s="19"/>
      <c r="O56" s="19"/>
      <c r="P56" s="19"/>
      <c r="Q56" s="19"/>
      <c r="R56" s="6" t="str">
        <f aca="false">IF(B56="","",IF(COUNTIF(L56:Q56,"X")=0,"",IF(COUNTIF(L56:Q56,"X")=COUNTA(Model!$B$12:$B$17),"ALL",_xlfn.TEXTJOIN(", ",TRUE(),IF(L56="X",L$4,""),IF(M56="X",M$4,""),IF(N56="X",N$4,""),IF(O56="X",O$4,""),IF(P56="X",P$4,""),IF(Q56="X",Q$4,"")))))</f>
        <v/>
      </c>
      <c r="S56" s="6" t="str">
        <f aca="false">IF(B56="","",IF(B56&gt;B55+1,"Level skips a step",IF(AND(B56&gt;0,OR(H56="",H56&lt;=0)),"Qty missing or 0",IF(AND(J56="Existing",K56=""),"Existing ID missing",IF(AND(B56=Model!$B$8+1,COUNTIF(L56:Q56,"X")=0),"Not in any variant",IF(AND(NOT(B56=Model!$B$8+1),COUNTIF(L56:Q56,"X")&gt;0),"X outside configured item","OK"))))))</f>
        <v/>
      </c>
    </row>
    <row r="57" customFormat="false" ht="15" hidden="false" customHeight="false" outlineLevel="0" collapsed="false">
      <c r="A57" s="17" t="str">
        <f aca="false">IF(B57="","",ROW()-4)</f>
        <v/>
      </c>
      <c r="B57" s="18"/>
      <c r="C57" s="18"/>
      <c r="D57" s="18"/>
      <c r="E57" s="12"/>
      <c r="F57" s="18"/>
      <c r="G57" s="18"/>
      <c r="H57" s="18"/>
      <c r="I57" s="18"/>
      <c r="J57" s="18"/>
      <c r="K57" s="18"/>
      <c r="L57" s="19"/>
      <c r="M57" s="19"/>
      <c r="N57" s="19"/>
      <c r="O57" s="19"/>
      <c r="P57" s="19"/>
      <c r="Q57" s="19"/>
      <c r="R57" s="6" t="str">
        <f aca="false">IF(B57="","",IF(COUNTIF(L57:Q57,"X")=0,"",IF(COUNTIF(L57:Q57,"X")=COUNTA(Model!$B$12:$B$17),"ALL",_xlfn.TEXTJOIN(", ",TRUE(),IF(L57="X",L$4,""),IF(M57="X",M$4,""),IF(N57="X",N$4,""),IF(O57="X",O$4,""),IF(P57="X",P$4,""),IF(Q57="X",Q$4,"")))))</f>
        <v/>
      </c>
      <c r="S57" s="6" t="str">
        <f aca="false">IF(B57="","",IF(B57&gt;B56+1,"Level skips a step",IF(AND(B57&gt;0,OR(H57="",H57&lt;=0)),"Qty missing or 0",IF(AND(J57="Existing",K57=""),"Existing ID missing",IF(AND(B57=Model!$B$8+1,COUNTIF(L57:Q57,"X")=0),"Not in any variant",IF(AND(NOT(B57=Model!$B$8+1),COUNTIF(L57:Q57,"X")&gt;0),"X outside configured item","OK"))))))</f>
        <v/>
      </c>
    </row>
    <row r="58" customFormat="false" ht="15" hidden="false" customHeight="false" outlineLevel="0" collapsed="false">
      <c r="A58" s="17" t="str">
        <f aca="false">IF(B58="","",ROW()-4)</f>
        <v/>
      </c>
      <c r="B58" s="18"/>
      <c r="C58" s="18"/>
      <c r="D58" s="18"/>
      <c r="E58" s="12"/>
      <c r="F58" s="18"/>
      <c r="G58" s="18"/>
      <c r="H58" s="18"/>
      <c r="I58" s="18"/>
      <c r="J58" s="18"/>
      <c r="K58" s="18"/>
      <c r="L58" s="19"/>
      <c r="M58" s="19"/>
      <c r="N58" s="19"/>
      <c r="O58" s="19"/>
      <c r="P58" s="19"/>
      <c r="Q58" s="19"/>
      <c r="R58" s="6" t="str">
        <f aca="false">IF(B58="","",IF(COUNTIF(L58:Q58,"X")=0,"",IF(COUNTIF(L58:Q58,"X")=COUNTA(Model!$B$12:$B$17),"ALL",_xlfn.TEXTJOIN(", ",TRUE(),IF(L58="X",L$4,""),IF(M58="X",M$4,""),IF(N58="X",N$4,""),IF(O58="X",O$4,""),IF(P58="X",P$4,""),IF(Q58="X",Q$4,"")))))</f>
        <v/>
      </c>
      <c r="S58" s="6" t="str">
        <f aca="false">IF(B58="","",IF(B58&gt;B57+1,"Level skips a step",IF(AND(B58&gt;0,OR(H58="",H58&lt;=0)),"Qty missing or 0",IF(AND(J58="Existing",K58=""),"Existing ID missing",IF(AND(B58=Model!$B$8+1,COUNTIF(L58:Q58,"X")=0),"Not in any variant",IF(AND(NOT(B58=Model!$B$8+1),COUNTIF(L58:Q58,"X")&gt;0),"X outside configured item","OK"))))))</f>
        <v/>
      </c>
    </row>
    <row r="59" customFormat="false" ht="15" hidden="false" customHeight="false" outlineLevel="0" collapsed="false">
      <c r="A59" s="17" t="str">
        <f aca="false">IF(B59="","",ROW()-4)</f>
        <v/>
      </c>
      <c r="B59" s="18"/>
      <c r="C59" s="18"/>
      <c r="D59" s="18"/>
      <c r="E59" s="12"/>
      <c r="F59" s="18"/>
      <c r="G59" s="18"/>
      <c r="H59" s="18"/>
      <c r="I59" s="18"/>
      <c r="J59" s="18"/>
      <c r="K59" s="18"/>
      <c r="L59" s="19"/>
      <c r="M59" s="19"/>
      <c r="N59" s="19"/>
      <c r="O59" s="19"/>
      <c r="P59" s="19"/>
      <c r="Q59" s="19"/>
      <c r="R59" s="6" t="str">
        <f aca="false">IF(B59="","",IF(COUNTIF(L59:Q59,"X")=0,"",IF(COUNTIF(L59:Q59,"X")=COUNTA(Model!$B$12:$B$17),"ALL",_xlfn.TEXTJOIN(", ",TRUE(),IF(L59="X",L$4,""),IF(M59="X",M$4,""),IF(N59="X",N$4,""),IF(O59="X",O$4,""),IF(P59="X",P$4,""),IF(Q59="X",Q$4,"")))))</f>
        <v/>
      </c>
      <c r="S59" s="6" t="str">
        <f aca="false">IF(B59="","",IF(B59&gt;B58+1,"Level skips a step",IF(AND(B59&gt;0,OR(H59="",H59&lt;=0)),"Qty missing or 0",IF(AND(J59="Existing",K59=""),"Existing ID missing",IF(AND(B59=Model!$B$8+1,COUNTIF(L59:Q59,"X")=0),"Not in any variant",IF(AND(NOT(B59=Model!$B$8+1),COUNTIF(L59:Q59,"X")&gt;0),"X outside configured item","OK"))))))</f>
        <v/>
      </c>
    </row>
    <row r="60" customFormat="false" ht="15" hidden="false" customHeight="false" outlineLevel="0" collapsed="false">
      <c r="A60" s="17" t="str">
        <f aca="false">IF(B60="","",ROW()-4)</f>
        <v/>
      </c>
      <c r="B60" s="18"/>
      <c r="C60" s="18"/>
      <c r="D60" s="18"/>
      <c r="E60" s="12"/>
      <c r="F60" s="18"/>
      <c r="G60" s="18"/>
      <c r="H60" s="18"/>
      <c r="I60" s="18"/>
      <c r="J60" s="18"/>
      <c r="K60" s="18"/>
      <c r="L60" s="19"/>
      <c r="M60" s="19"/>
      <c r="N60" s="19"/>
      <c r="O60" s="19"/>
      <c r="P60" s="19"/>
      <c r="Q60" s="19"/>
      <c r="R60" s="6" t="str">
        <f aca="false">IF(B60="","",IF(COUNTIF(L60:Q60,"X")=0,"",IF(COUNTIF(L60:Q60,"X")=COUNTA(Model!$B$12:$B$17),"ALL",_xlfn.TEXTJOIN(", ",TRUE(),IF(L60="X",L$4,""),IF(M60="X",M$4,""),IF(N60="X",N$4,""),IF(O60="X",O$4,""),IF(P60="X",P$4,""),IF(Q60="X",Q$4,"")))))</f>
        <v/>
      </c>
      <c r="S60" s="6" t="str">
        <f aca="false">IF(B60="","",IF(B60&gt;B59+1,"Level skips a step",IF(AND(B60&gt;0,OR(H60="",H60&lt;=0)),"Qty missing or 0",IF(AND(J60="Existing",K60=""),"Existing ID missing",IF(AND(B60=Model!$B$8+1,COUNTIF(L60:Q60,"X")=0),"Not in any variant",IF(AND(NOT(B60=Model!$B$8+1),COUNTIF(L60:Q60,"X")&gt;0),"X outside configured item","OK"))))))</f>
        <v/>
      </c>
    </row>
    <row r="61" customFormat="false" ht="15" hidden="false" customHeight="false" outlineLevel="0" collapsed="false">
      <c r="A61" s="17" t="str">
        <f aca="false">IF(B61="","",ROW()-4)</f>
        <v/>
      </c>
      <c r="B61" s="18"/>
      <c r="C61" s="18"/>
      <c r="D61" s="18"/>
      <c r="E61" s="12"/>
      <c r="F61" s="18"/>
      <c r="G61" s="18"/>
      <c r="H61" s="18"/>
      <c r="I61" s="18"/>
      <c r="J61" s="18"/>
      <c r="K61" s="18"/>
      <c r="L61" s="19"/>
      <c r="M61" s="19"/>
      <c r="N61" s="19"/>
      <c r="O61" s="19"/>
      <c r="P61" s="19"/>
      <c r="Q61" s="19"/>
      <c r="R61" s="6" t="str">
        <f aca="false">IF(B61="","",IF(COUNTIF(L61:Q61,"X")=0,"",IF(COUNTIF(L61:Q61,"X")=COUNTA(Model!$B$12:$B$17),"ALL",_xlfn.TEXTJOIN(", ",TRUE(),IF(L61="X",L$4,""),IF(M61="X",M$4,""),IF(N61="X",N$4,""),IF(O61="X",O$4,""),IF(P61="X",P$4,""),IF(Q61="X",Q$4,"")))))</f>
        <v/>
      </c>
      <c r="S61" s="6" t="str">
        <f aca="false">IF(B61="","",IF(B61&gt;B60+1,"Level skips a step",IF(AND(B61&gt;0,OR(H61="",H61&lt;=0)),"Qty missing or 0",IF(AND(J61="Existing",K61=""),"Existing ID missing",IF(AND(B61=Model!$B$8+1,COUNTIF(L61:Q61,"X")=0),"Not in any variant",IF(AND(NOT(B61=Model!$B$8+1),COUNTIF(L61:Q61,"X")&gt;0),"X outside configured item","OK"))))))</f>
        <v/>
      </c>
    </row>
    <row r="62" customFormat="false" ht="15" hidden="false" customHeight="false" outlineLevel="0" collapsed="false">
      <c r="A62" s="17" t="str">
        <f aca="false">IF(B62="","",ROW()-4)</f>
        <v/>
      </c>
      <c r="B62" s="18"/>
      <c r="C62" s="18"/>
      <c r="D62" s="18"/>
      <c r="E62" s="12"/>
      <c r="F62" s="18"/>
      <c r="G62" s="18"/>
      <c r="H62" s="18"/>
      <c r="I62" s="18"/>
      <c r="J62" s="18"/>
      <c r="K62" s="18"/>
      <c r="L62" s="19"/>
      <c r="M62" s="19"/>
      <c r="N62" s="19"/>
      <c r="O62" s="19"/>
      <c r="P62" s="19"/>
      <c r="Q62" s="19"/>
      <c r="R62" s="6" t="str">
        <f aca="false">IF(B62="","",IF(COUNTIF(L62:Q62,"X")=0,"",IF(COUNTIF(L62:Q62,"X")=COUNTA(Model!$B$12:$B$17),"ALL",_xlfn.TEXTJOIN(", ",TRUE(),IF(L62="X",L$4,""),IF(M62="X",M$4,""),IF(N62="X",N$4,""),IF(O62="X",O$4,""),IF(P62="X",P$4,""),IF(Q62="X",Q$4,"")))))</f>
        <v/>
      </c>
      <c r="S62" s="6" t="str">
        <f aca="false">IF(B62="","",IF(B62&gt;B61+1,"Level skips a step",IF(AND(B62&gt;0,OR(H62="",H62&lt;=0)),"Qty missing or 0",IF(AND(J62="Existing",K62=""),"Existing ID missing",IF(AND(B62=Model!$B$8+1,COUNTIF(L62:Q62,"X")=0),"Not in any variant",IF(AND(NOT(B62=Model!$B$8+1),COUNTIF(L62:Q62,"X")&gt;0),"X outside configured item","OK"))))))</f>
        <v/>
      </c>
    </row>
    <row r="63" customFormat="false" ht="15" hidden="false" customHeight="false" outlineLevel="0" collapsed="false">
      <c r="A63" s="17" t="str">
        <f aca="false">IF(B63="","",ROW()-4)</f>
        <v/>
      </c>
      <c r="B63" s="18"/>
      <c r="C63" s="18"/>
      <c r="D63" s="18"/>
      <c r="E63" s="12"/>
      <c r="F63" s="18"/>
      <c r="G63" s="18"/>
      <c r="H63" s="18"/>
      <c r="I63" s="18"/>
      <c r="J63" s="18"/>
      <c r="K63" s="18"/>
      <c r="L63" s="19"/>
      <c r="M63" s="19"/>
      <c r="N63" s="19"/>
      <c r="O63" s="19"/>
      <c r="P63" s="19"/>
      <c r="Q63" s="19"/>
      <c r="R63" s="6" t="str">
        <f aca="false">IF(B63="","",IF(COUNTIF(L63:Q63,"X")=0,"",IF(COUNTIF(L63:Q63,"X")=COUNTA(Model!$B$12:$B$17),"ALL",_xlfn.TEXTJOIN(", ",TRUE(),IF(L63="X",L$4,""),IF(M63="X",M$4,""),IF(N63="X",N$4,""),IF(O63="X",O$4,""),IF(P63="X",P$4,""),IF(Q63="X",Q$4,"")))))</f>
        <v/>
      </c>
      <c r="S63" s="6" t="str">
        <f aca="false">IF(B63="","",IF(B63&gt;B62+1,"Level skips a step",IF(AND(B63&gt;0,OR(H63="",H63&lt;=0)),"Qty missing or 0",IF(AND(J63="Existing",K63=""),"Existing ID missing",IF(AND(B63=Model!$B$8+1,COUNTIF(L63:Q63,"X")=0),"Not in any variant",IF(AND(NOT(B63=Model!$B$8+1),COUNTIF(L63:Q63,"X")&gt;0),"X outside configured item","OK"))))))</f>
        <v/>
      </c>
    </row>
    <row r="64" customFormat="false" ht="15" hidden="false" customHeight="false" outlineLevel="0" collapsed="false">
      <c r="A64" s="17" t="str">
        <f aca="false">IF(B64="","",ROW()-4)</f>
        <v/>
      </c>
      <c r="B64" s="18"/>
      <c r="C64" s="18"/>
      <c r="D64" s="18"/>
      <c r="E64" s="12"/>
      <c r="F64" s="18"/>
      <c r="G64" s="18"/>
      <c r="H64" s="18"/>
      <c r="I64" s="18"/>
      <c r="J64" s="18"/>
      <c r="K64" s="18"/>
      <c r="L64" s="19"/>
      <c r="M64" s="19"/>
      <c r="N64" s="19"/>
      <c r="O64" s="19"/>
      <c r="P64" s="19"/>
      <c r="Q64" s="19"/>
      <c r="R64" s="6" t="str">
        <f aca="false">IF(B64="","",IF(COUNTIF(L64:Q64,"X")=0,"",IF(COUNTIF(L64:Q64,"X")=COUNTA(Model!$B$12:$B$17),"ALL",_xlfn.TEXTJOIN(", ",TRUE(),IF(L64="X",L$4,""),IF(M64="X",M$4,""),IF(N64="X",N$4,""),IF(O64="X",O$4,""),IF(P64="X",P$4,""),IF(Q64="X",Q$4,"")))))</f>
        <v/>
      </c>
      <c r="S64" s="6" t="str">
        <f aca="false">IF(B64="","",IF(B64&gt;B63+1,"Level skips a step",IF(AND(B64&gt;0,OR(H64="",H64&lt;=0)),"Qty missing or 0",IF(AND(J64="Existing",K64=""),"Existing ID missing",IF(AND(B64=Model!$B$8+1,COUNTIF(L64:Q64,"X")=0),"Not in any variant",IF(AND(NOT(B64=Model!$B$8+1),COUNTIF(L64:Q64,"X")&gt;0),"X outside configured item","OK"))))))</f>
        <v/>
      </c>
    </row>
    <row r="65" customFormat="false" ht="15" hidden="false" customHeight="false" outlineLevel="0" collapsed="false">
      <c r="A65" s="17" t="str">
        <f aca="false">IF(B65="","",ROW()-4)</f>
        <v/>
      </c>
      <c r="B65" s="18"/>
      <c r="C65" s="18"/>
      <c r="D65" s="18"/>
      <c r="E65" s="12"/>
      <c r="F65" s="18"/>
      <c r="G65" s="18"/>
      <c r="H65" s="18"/>
      <c r="I65" s="18"/>
      <c r="J65" s="18"/>
      <c r="K65" s="18"/>
      <c r="L65" s="19"/>
      <c r="M65" s="19"/>
      <c r="N65" s="19"/>
      <c r="O65" s="19"/>
      <c r="P65" s="19"/>
      <c r="Q65" s="19"/>
      <c r="R65" s="6" t="str">
        <f aca="false">IF(B65="","",IF(COUNTIF(L65:Q65,"X")=0,"",IF(COUNTIF(L65:Q65,"X")=COUNTA(Model!$B$12:$B$17),"ALL",_xlfn.TEXTJOIN(", ",TRUE(),IF(L65="X",L$4,""),IF(M65="X",M$4,""),IF(N65="X",N$4,""),IF(O65="X",O$4,""),IF(P65="X",P$4,""),IF(Q65="X",Q$4,"")))))</f>
        <v/>
      </c>
      <c r="S65" s="6" t="str">
        <f aca="false">IF(B65="","",IF(B65&gt;B64+1,"Level skips a step",IF(AND(B65&gt;0,OR(H65="",H65&lt;=0)),"Qty missing or 0",IF(AND(J65="Existing",K65=""),"Existing ID missing",IF(AND(B65=Model!$B$8+1,COUNTIF(L65:Q65,"X")=0),"Not in any variant",IF(AND(NOT(B65=Model!$B$8+1),COUNTIF(L65:Q65,"X")&gt;0),"X outside configured item","OK"))))))</f>
        <v/>
      </c>
    </row>
    <row r="66" customFormat="false" ht="15" hidden="false" customHeight="false" outlineLevel="0" collapsed="false">
      <c r="A66" s="17" t="str">
        <f aca="false">IF(B66="","",ROW()-4)</f>
        <v/>
      </c>
      <c r="B66" s="18"/>
      <c r="C66" s="18"/>
      <c r="D66" s="18"/>
      <c r="E66" s="12"/>
      <c r="F66" s="18"/>
      <c r="G66" s="18"/>
      <c r="H66" s="18"/>
      <c r="I66" s="18"/>
      <c r="J66" s="18"/>
      <c r="K66" s="18"/>
      <c r="L66" s="19"/>
      <c r="M66" s="19"/>
      <c r="N66" s="19"/>
      <c r="O66" s="19"/>
      <c r="P66" s="19"/>
      <c r="Q66" s="19"/>
      <c r="R66" s="6" t="str">
        <f aca="false">IF(B66="","",IF(COUNTIF(L66:Q66,"X")=0,"",IF(COUNTIF(L66:Q66,"X")=COUNTA(Model!$B$12:$B$17),"ALL",_xlfn.TEXTJOIN(", ",TRUE(),IF(L66="X",L$4,""),IF(M66="X",M$4,""),IF(N66="X",N$4,""),IF(O66="X",O$4,""),IF(P66="X",P$4,""),IF(Q66="X",Q$4,"")))))</f>
        <v/>
      </c>
      <c r="S66" s="6" t="str">
        <f aca="false">IF(B66="","",IF(B66&gt;B65+1,"Level skips a step",IF(AND(B66&gt;0,OR(H66="",H66&lt;=0)),"Qty missing or 0",IF(AND(J66="Existing",K66=""),"Existing ID missing",IF(AND(B66=Model!$B$8+1,COUNTIF(L66:Q66,"X")=0),"Not in any variant",IF(AND(NOT(B66=Model!$B$8+1),COUNTIF(L66:Q66,"X")&gt;0),"X outside configured item","OK"))))))</f>
        <v/>
      </c>
    </row>
    <row r="67" customFormat="false" ht="15" hidden="false" customHeight="false" outlineLevel="0" collapsed="false">
      <c r="A67" s="17" t="str">
        <f aca="false">IF(B67="","",ROW()-4)</f>
        <v/>
      </c>
      <c r="B67" s="18"/>
      <c r="C67" s="18"/>
      <c r="D67" s="18"/>
      <c r="E67" s="12"/>
      <c r="F67" s="18"/>
      <c r="G67" s="18"/>
      <c r="H67" s="18"/>
      <c r="I67" s="18"/>
      <c r="J67" s="18"/>
      <c r="K67" s="18"/>
      <c r="L67" s="19"/>
      <c r="M67" s="19"/>
      <c r="N67" s="19"/>
      <c r="O67" s="19"/>
      <c r="P67" s="19"/>
      <c r="Q67" s="19"/>
      <c r="R67" s="6" t="str">
        <f aca="false">IF(B67="","",IF(COUNTIF(L67:Q67,"X")=0,"",IF(COUNTIF(L67:Q67,"X")=COUNTA(Model!$B$12:$B$17),"ALL",_xlfn.TEXTJOIN(", ",TRUE(),IF(L67="X",L$4,""),IF(M67="X",M$4,""),IF(N67="X",N$4,""),IF(O67="X",O$4,""),IF(P67="X",P$4,""),IF(Q67="X",Q$4,"")))))</f>
        <v/>
      </c>
      <c r="S67" s="6" t="str">
        <f aca="false">IF(B67="","",IF(B67&gt;B66+1,"Level skips a step",IF(AND(B67&gt;0,OR(H67="",H67&lt;=0)),"Qty missing or 0",IF(AND(J67="Existing",K67=""),"Existing ID missing",IF(AND(B67=Model!$B$8+1,COUNTIF(L67:Q67,"X")=0),"Not in any variant",IF(AND(NOT(B67=Model!$B$8+1),COUNTIF(L67:Q67,"X")&gt;0),"X outside configured item","OK"))))))</f>
        <v/>
      </c>
    </row>
    <row r="68" customFormat="false" ht="15" hidden="false" customHeight="false" outlineLevel="0" collapsed="false">
      <c r="A68" s="17" t="str">
        <f aca="false">IF(B68="","",ROW()-4)</f>
        <v/>
      </c>
      <c r="B68" s="18"/>
      <c r="C68" s="18"/>
      <c r="D68" s="18"/>
      <c r="E68" s="12"/>
      <c r="F68" s="18"/>
      <c r="G68" s="18"/>
      <c r="H68" s="18"/>
      <c r="I68" s="18"/>
      <c r="J68" s="18"/>
      <c r="K68" s="18"/>
      <c r="L68" s="19"/>
      <c r="M68" s="19"/>
      <c r="N68" s="19"/>
      <c r="O68" s="19"/>
      <c r="P68" s="19"/>
      <c r="Q68" s="19"/>
      <c r="R68" s="6" t="str">
        <f aca="false">IF(B68="","",IF(COUNTIF(L68:Q68,"X")=0,"",IF(COUNTIF(L68:Q68,"X")=COUNTA(Model!$B$12:$B$17),"ALL",_xlfn.TEXTJOIN(", ",TRUE(),IF(L68="X",L$4,""),IF(M68="X",M$4,""),IF(N68="X",N$4,""),IF(O68="X",O$4,""),IF(P68="X",P$4,""),IF(Q68="X",Q$4,"")))))</f>
        <v/>
      </c>
      <c r="S68" s="6" t="str">
        <f aca="false">IF(B68="","",IF(B68&gt;B67+1,"Level skips a step",IF(AND(B68&gt;0,OR(H68="",H68&lt;=0)),"Qty missing or 0",IF(AND(J68="Existing",K68=""),"Existing ID missing",IF(AND(B68=Model!$B$8+1,COUNTIF(L68:Q68,"X")=0),"Not in any variant",IF(AND(NOT(B68=Model!$B$8+1),COUNTIF(L68:Q68,"X")&gt;0),"X outside configured item","OK"))))))</f>
        <v/>
      </c>
    </row>
    <row r="69" customFormat="false" ht="15" hidden="false" customHeight="false" outlineLevel="0" collapsed="false">
      <c r="A69" s="17" t="str">
        <f aca="false">IF(B69="","",ROW()-4)</f>
        <v/>
      </c>
      <c r="B69" s="18"/>
      <c r="C69" s="18"/>
      <c r="D69" s="18"/>
      <c r="E69" s="12"/>
      <c r="F69" s="18"/>
      <c r="G69" s="18"/>
      <c r="H69" s="18"/>
      <c r="I69" s="18"/>
      <c r="J69" s="18"/>
      <c r="K69" s="18"/>
      <c r="L69" s="19"/>
      <c r="M69" s="19"/>
      <c r="N69" s="19"/>
      <c r="O69" s="19"/>
      <c r="P69" s="19"/>
      <c r="Q69" s="19"/>
      <c r="R69" s="6" t="str">
        <f aca="false">IF(B69="","",IF(COUNTIF(L69:Q69,"X")=0,"",IF(COUNTIF(L69:Q69,"X")=COUNTA(Model!$B$12:$B$17),"ALL",_xlfn.TEXTJOIN(", ",TRUE(),IF(L69="X",L$4,""),IF(M69="X",M$4,""),IF(N69="X",N$4,""),IF(O69="X",O$4,""),IF(P69="X",P$4,""),IF(Q69="X",Q$4,"")))))</f>
        <v/>
      </c>
      <c r="S69" s="6" t="str">
        <f aca="false">IF(B69="","",IF(B69&gt;B68+1,"Level skips a step",IF(AND(B69&gt;0,OR(H69="",H69&lt;=0)),"Qty missing or 0",IF(AND(J69="Existing",K69=""),"Existing ID missing",IF(AND(B69=Model!$B$8+1,COUNTIF(L69:Q69,"X")=0),"Not in any variant",IF(AND(NOT(B69=Model!$B$8+1),COUNTIF(L69:Q69,"X")&gt;0),"X outside configured item","OK"))))))</f>
        <v/>
      </c>
    </row>
    <row r="70" customFormat="false" ht="15" hidden="false" customHeight="false" outlineLevel="0" collapsed="false">
      <c r="A70" s="17" t="str">
        <f aca="false">IF(B70="","",ROW()-4)</f>
        <v/>
      </c>
      <c r="B70" s="18"/>
      <c r="C70" s="18"/>
      <c r="D70" s="18"/>
      <c r="E70" s="12"/>
      <c r="F70" s="18"/>
      <c r="G70" s="18"/>
      <c r="H70" s="18"/>
      <c r="I70" s="18"/>
      <c r="J70" s="18"/>
      <c r="K70" s="18"/>
      <c r="L70" s="19"/>
      <c r="M70" s="19"/>
      <c r="N70" s="19"/>
      <c r="O70" s="19"/>
      <c r="P70" s="19"/>
      <c r="Q70" s="19"/>
      <c r="R70" s="6" t="str">
        <f aca="false">IF(B70="","",IF(COUNTIF(L70:Q70,"X")=0,"",IF(COUNTIF(L70:Q70,"X")=COUNTA(Model!$B$12:$B$17),"ALL",_xlfn.TEXTJOIN(", ",TRUE(),IF(L70="X",L$4,""),IF(M70="X",M$4,""),IF(N70="X",N$4,""),IF(O70="X",O$4,""),IF(P70="X",P$4,""),IF(Q70="X",Q$4,"")))))</f>
        <v/>
      </c>
      <c r="S70" s="6" t="str">
        <f aca="false">IF(B70="","",IF(B70&gt;B69+1,"Level skips a step",IF(AND(B70&gt;0,OR(H70="",H70&lt;=0)),"Qty missing or 0",IF(AND(J70="Existing",K70=""),"Existing ID missing",IF(AND(B70=Model!$B$8+1,COUNTIF(L70:Q70,"X")=0),"Not in any variant",IF(AND(NOT(B70=Model!$B$8+1),COUNTIF(L70:Q70,"X")&gt;0),"X outside configured item","OK"))))))</f>
        <v/>
      </c>
    </row>
    <row r="71" customFormat="false" ht="15" hidden="false" customHeight="false" outlineLevel="0" collapsed="false">
      <c r="A71" s="17" t="str">
        <f aca="false">IF(B71="","",ROW()-4)</f>
        <v/>
      </c>
      <c r="B71" s="18"/>
      <c r="C71" s="18"/>
      <c r="D71" s="18"/>
      <c r="E71" s="12"/>
      <c r="F71" s="18"/>
      <c r="G71" s="18"/>
      <c r="H71" s="18"/>
      <c r="I71" s="18"/>
      <c r="J71" s="18"/>
      <c r="K71" s="18"/>
      <c r="L71" s="19"/>
      <c r="M71" s="19"/>
      <c r="N71" s="19"/>
      <c r="O71" s="19"/>
      <c r="P71" s="19"/>
      <c r="Q71" s="19"/>
      <c r="R71" s="6" t="str">
        <f aca="false">IF(B71="","",IF(COUNTIF(L71:Q71,"X")=0,"",IF(COUNTIF(L71:Q71,"X")=COUNTA(Model!$B$12:$B$17),"ALL",_xlfn.TEXTJOIN(", ",TRUE(),IF(L71="X",L$4,""),IF(M71="X",M$4,""),IF(N71="X",N$4,""),IF(O71="X",O$4,""),IF(P71="X",P$4,""),IF(Q71="X",Q$4,"")))))</f>
        <v/>
      </c>
      <c r="S71" s="6" t="str">
        <f aca="false">IF(B71="","",IF(B71&gt;B70+1,"Level skips a step",IF(AND(B71&gt;0,OR(H71="",H71&lt;=0)),"Qty missing or 0",IF(AND(J71="Existing",K71=""),"Existing ID missing",IF(AND(B71=Model!$B$8+1,COUNTIF(L71:Q71,"X")=0),"Not in any variant",IF(AND(NOT(B71=Model!$B$8+1),COUNTIF(L71:Q71,"X")&gt;0),"X outside configured item","OK"))))))</f>
        <v/>
      </c>
    </row>
    <row r="72" customFormat="false" ht="15" hidden="false" customHeight="false" outlineLevel="0" collapsed="false">
      <c r="A72" s="17" t="str">
        <f aca="false">IF(B72="","",ROW()-4)</f>
        <v/>
      </c>
      <c r="B72" s="18"/>
      <c r="C72" s="18"/>
      <c r="D72" s="18"/>
      <c r="E72" s="12"/>
      <c r="F72" s="18"/>
      <c r="G72" s="18"/>
      <c r="H72" s="18"/>
      <c r="I72" s="18"/>
      <c r="J72" s="18"/>
      <c r="K72" s="18"/>
      <c r="L72" s="19"/>
      <c r="M72" s="19"/>
      <c r="N72" s="19"/>
      <c r="O72" s="19"/>
      <c r="P72" s="19"/>
      <c r="Q72" s="19"/>
      <c r="R72" s="6" t="str">
        <f aca="false">IF(B72="","",IF(COUNTIF(L72:Q72,"X")=0,"",IF(COUNTIF(L72:Q72,"X")=COUNTA(Model!$B$12:$B$17),"ALL",_xlfn.TEXTJOIN(", ",TRUE(),IF(L72="X",L$4,""),IF(M72="X",M$4,""),IF(N72="X",N$4,""),IF(O72="X",O$4,""),IF(P72="X",P$4,""),IF(Q72="X",Q$4,"")))))</f>
        <v/>
      </c>
      <c r="S72" s="6" t="str">
        <f aca="false">IF(B72="","",IF(B72&gt;B71+1,"Level skips a step",IF(AND(B72&gt;0,OR(H72="",H72&lt;=0)),"Qty missing or 0",IF(AND(J72="Existing",K72=""),"Existing ID missing",IF(AND(B72=Model!$B$8+1,COUNTIF(L72:Q72,"X")=0),"Not in any variant",IF(AND(NOT(B72=Model!$B$8+1),COUNTIF(L72:Q72,"X")&gt;0),"X outside configured item","OK"))))))</f>
        <v/>
      </c>
    </row>
    <row r="73" customFormat="false" ht="15" hidden="false" customHeight="false" outlineLevel="0" collapsed="false">
      <c r="A73" s="17" t="str">
        <f aca="false">IF(B73="","",ROW()-4)</f>
        <v/>
      </c>
      <c r="B73" s="18"/>
      <c r="C73" s="18"/>
      <c r="D73" s="18"/>
      <c r="E73" s="12"/>
      <c r="F73" s="18"/>
      <c r="G73" s="18"/>
      <c r="H73" s="18"/>
      <c r="I73" s="18"/>
      <c r="J73" s="18"/>
      <c r="K73" s="18"/>
      <c r="L73" s="19"/>
      <c r="M73" s="19"/>
      <c r="N73" s="19"/>
      <c r="O73" s="19"/>
      <c r="P73" s="19"/>
      <c r="Q73" s="19"/>
      <c r="R73" s="6" t="str">
        <f aca="false">IF(B73="","",IF(COUNTIF(L73:Q73,"X")=0,"",IF(COUNTIF(L73:Q73,"X")=COUNTA(Model!$B$12:$B$17),"ALL",_xlfn.TEXTJOIN(", ",TRUE(),IF(L73="X",L$4,""),IF(M73="X",M$4,""),IF(N73="X",N$4,""),IF(O73="X",O$4,""),IF(P73="X",P$4,""),IF(Q73="X",Q$4,"")))))</f>
        <v/>
      </c>
      <c r="S73" s="6" t="str">
        <f aca="false">IF(B73="","",IF(B73&gt;B72+1,"Level skips a step",IF(AND(B73&gt;0,OR(H73="",H73&lt;=0)),"Qty missing or 0",IF(AND(J73="Existing",K73=""),"Existing ID missing",IF(AND(B73=Model!$B$8+1,COUNTIF(L73:Q73,"X")=0),"Not in any variant",IF(AND(NOT(B73=Model!$B$8+1),COUNTIF(L73:Q73,"X")&gt;0),"X outside configured item","OK"))))))</f>
        <v/>
      </c>
    </row>
    <row r="74" customFormat="false" ht="15" hidden="false" customHeight="false" outlineLevel="0" collapsed="false">
      <c r="A74" s="17" t="str">
        <f aca="false">IF(B74="","",ROW()-4)</f>
        <v/>
      </c>
      <c r="B74" s="18"/>
      <c r="C74" s="18"/>
      <c r="D74" s="18"/>
      <c r="E74" s="12"/>
      <c r="F74" s="18"/>
      <c r="G74" s="18"/>
      <c r="H74" s="18"/>
      <c r="I74" s="18"/>
      <c r="J74" s="18"/>
      <c r="K74" s="18"/>
      <c r="L74" s="19"/>
      <c r="M74" s="19"/>
      <c r="N74" s="19"/>
      <c r="O74" s="19"/>
      <c r="P74" s="19"/>
      <c r="Q74" s="19"/>
      <c r="R74" s="6" t="str">
        <f aca="false">IF(B74="","",IF(COUNTIF(L74:Q74,"X")=0,"",IF(COUNTIF(L74:Q74,"X")=COUNTA(Model!$B$12:$B$17),"ALL",_xlfn.TEXTJOIN(", ",TRUE(),IF(L74="X",L$4,""),IF(M74="X",M$4,""),IF(N74="X",N$4,""),IF(O74="X",O$4,""),IF(P74="X",P$4,""),IF(Q74="X",Q$4,"")))))</f>
        <v/>
      </c>
      <c r="S74" s="6" t="str">
        <f aca="false">IF(B74="","",IF(B74&gt;B73+1,"Level skips a step",IF(AND(B74&gt;0,OR(H74="",H74&lt;=0)),"Qty missing or 0",IF(AND(J74="Existing",K74=""),"Existing ID missing",IF(AND(B74=Model!$B$8+1,COUNTIF(L74:Q74,"X")=0),"Not in any variant",IF(AND(NOT(B74=Model!$B$8+1),COUNTIF(L74:Q74,"X")&gt;0),"X outside configured item","OK"))))))</f>
        <v/>
      </c>
    </row>
    <row r="75" customFormat="false" ht="15" hidden="false" customHeight="false" outlineLevel="0" collapsed="false">
      <c r="A75" s="17" t="str">
        <f aca="false">IF(B75="","",ROW()-4)</f>
        <v/>
      </c>
      <c r="B75" s="18"/>
      <c r="C75" s="18"/>
      <c r="D75" s="18"/>
      <c r="E75" s="12"/>
      <c r="F75" s="18"/>
      <c r="G75" s="18"/>
      <c r="H75" s="18"/>
      <c r="I75" s="18"/>
      <c r="J75" s="18"/>
      <c r="K75" s="18"/>
      <c r="L75" s="19"/>
      <c r="M75" s="19"/>
      <c r="N75" s="19"/>
      <c r="O75" s="19"/>
      <c r="P75" s="19"/>
      <c r="Q75" s="19"/>
      <c r="R75" s="6" t="str">
        <f aca="false">IF(B75="","",IF(COUNTIF(L75:Q75,"X")=0,"",IF(COUNTIF(L75:Q75,"X")=COUNTA(Model!$B$12:$B$17),"ALL",_xlfn.TEXTJOIN(", ",TRUE(),IF(L75="X",L$4,""),IF(M75="X",M$4,""),IF(N75="X",N$4,""),IF(O75="X",O$4,""),IF(P75="X",P$4,""),IF(Q75="X",Q$4,"")))))</f>
        <v/>
      </c>
      <c r="S75" s="6" t="str">
        <f aca="false">IF(B75="","",IF(B75&gt;B74+1,"Level skips a step",IF(AND(B75&gt;0,OR(H75="",H75&lt;=0)),"Qty missing or 0",IF(AND(J75="Existing",K75=""),"Existing ID missing",IF(AND(B75=Model!$B$8+1,COUNTIF(L75:Q75,"X")=0),"Not in any variant",IF(AND(NOT(B75=Model!$B$8+1),COUNTIF(L75:Q75,"X")&gt;0),"X outside configured item","OK"))))))</f>
        <v/>
      </c>
    </row>
    <row r="76" customFormat="false" ht="15" hidden="false" customHeight="false" outlineLevel="0" collapsed="false">
      <c r="A76" s="17" t="str">
        <f aca="false">IF(B76="","",ROW()-4)</f>
        <v/>
      </c>
      <c r="B76" s="18"/>
      <c r="C76" s="18"/>
      <c r="D76" s="18"/>
      <c r="E76" s="12"/>
      <c r="F76" s="18"/>
      <c r="G76" s="18"/>
      <c r="H76" s="18"/>
      <c r="I76" s="18"/>
      <c r="J76" s="18"/>
      <c r="K76" s="18"/>
      <c r="L76" s="19"/>
      <c r="M76" s="19"/>
      <c r="N76" s="19"/>
      <c r="O76" s="19"/>
      <c r="P76" s="19"/>
      <c r="Q76" s="19"/>
      <c r="R76" s="6" t="str">
        <f aca="false">IF(B76="","",IF(COUNTIF(L76:Q76,"X")=0,"",IF(COUNTIF(L76:Q76,"X")=COUNTA(Model!$B$12:$B$17),"ALL",_xlfn.TEXTJOIN(", ",TRUE(),IF(L76="X",L$4,""),IF(M76="X",M$4,""),IF(N76="X",N$4,""),IF(O76="X",O$4,""),IF(P76="X",P$4,""),IF(Q76="X",Q$4,"")))))</f>
        <v/>
      </c>
      <c r="S76" s="6" t="str">
        <f aca="false">IF(B76="","",IF(B76&gt;B75+1,"Level skips a step",IF(AND(B76&gt;0,OR(H76="",H76&lt;=0)),"Qty missing or 0",IF(AND(J76="Existing",K76=""),"Existing ID missing",IF(AND(B76=Model!$B$8+1,COUNTIF(L76:Q76,"X")=0),"Not in any variant",IF(AND(NOT(B76=Model!$B$8+1),COUNTIF(L76:Q76,"X")&gt;0),"X outside configured item","OK"))))))</f>
        <v/>
      </c>
    </row>
    <row r="77" customFormat="false" ht="15" hidden="false" customHeight="false" outlineLevel="0" collapsed="false">
      <c r="A77" s="17" t="str">
        <f aca="false">IF(B77="","",ROW()-4)</f>
        <v/>
      </c>
      <c r="B77" s="18"/>
      <c r="C77" s="18"/>
      <c r="D77" s="18"/>
      <c r="E77" s="12"/>
      <c r="F77" s="18"/>
      <c r="G77" s="18"/>
      <c r="H77" s="18"/>
      <c r="I77" s="18"/>
      <c r="J77" s="18"/>
      <c r="K77" s="18"/>
      <c r="L77" s="19"/>
      <c r="M77" s="19"/>
      <c r="N77" s="19"/>
      <c r="O77" s="19"/>
      <c r="P77" s="19"/>
      <c r="Q77" s="19"/>
      <c r="R77" s="6" t="str">
        <f aca="false">IF(B77="","",IF(COUNTIF(L77:Q77,"X")=0,"",IF(COUNTIF(L77:Q77,"X")=COUNTA(Model!$B$12:$B$17),"ALL",_xlfn.TEXTJOIN(", ",TRUE(),IF(L77="X",L$4,""),IF(M77="X",M$4,""),IF(N77="X",N$4,""),IF(O77="X",O$4,""),IF(P77="X",P$4,""),IF(Q77="X",Q$4,"")))))</f>
        <v/>
      </c>
      <c r="S77" s="6" t="str">
        <f aca="false">IF(B77="","",IF(B77&gt;B76+1,"Level skips a step",IF(AND(B77&gt;0,OR(H77="",H77&lt;=0)),"Qty missing or 0",IF(AND(J77="Existing",K77=""),"Existing ID missing",IF(AND(B77=Model!$B$8+1,COUNTIF(L77:Q77,"X")=0),"Not in any variant",IF(AND(NOT(B77=Model!$B$8+1),COUNTIF(L77:Q77,"X")&gt;0),"X outside configured item","OK"))))))</f>
        <v/>
      </c>
    </row>
    <row r="78" customFormat="false" ht="15" hidden="false" customHeight="false" outlineLevel="0" collapsed="false">
      <c r="A78" s="17" t="str">
        <f aca="false">IF(B78="","",ROW()-4)</f>
        <v/>
      </c>
      <c r="B78" s="18"/>
      <c r="C78" s="18"/>
      <c r="D78" s="18"/>
      <c r="E78" s="12"/>
      <c r="F78" s="18"/>
      <c r="G78" s="18"/>
      <c r="H78" s="18"/>
      <c r="I78" s="18"/>
      <c r="J78" s="18"/>
      <c r="K78" s="18"/>
      <c r="L78" s="19"/>
      <c r="M78" s="19"/>
      <c r="N78" s="19"/>
      <c r="O78" s="19"/>
      <c r="P78" s="19"/>
      <c r="Q78" s="19"/>
      <c r="R78" s="6" t="str">
        <f aca="false">IF(B78="","",IF(COUNTIF(L78:Q78,"X")=0,"",IF(COUNTIF(L78:Q78,"X")=COUNTA(Model!$B$12:$B$17),"ALL",_xlfn.TEXTJOIN(", ",TRUE(),IF(L78="X",L$4,""),IF(M78="X",M$4,""),IF(N78="X",N$4,""),IF(O78="X",O$4,""),IF(P78="X",P$4,""),IF(Q78="X",Q$4,"")))))</f>
        <v/>
      </c>
      <c r="S78" s="6" t="str">
        <f aca="false">IF(B78="","",IF(B78&gt;B77+1,"Level skips a step",IF(AND(B78&gt;0,OR(H78="",H78&lt;=0)),"Qty missing or 0",IF(AND(J78="Existing",K78=""),"Existing ID missing",IF(AND(B78=Model!$B$8+1,COUNTIF(L78:Q78,"X")=0),"Not in any variant",IF(AND(NOT(B78=Model!$B$8+1),COUNTIF(L78:Q78,"X")&gt;0),"X outside configured item","OK"))))))</f>
        <v/>
      </c>
    </row>
    <row r="79" customFormat="false" ht="15" hidden="false" customHeight="false" outlineLevel="0" collapsed="false">
      <c r="A79" s="17" t="str">
        <f aca="false">IF(B79="","",ROW()-4)</f>
        <v/>
      </c>
      <c r="B79" s="18"/>
      <c r="C79" s="18"/>
      <c r="D79" s="18"/>
      <c r="E79" s="12"/>
      <c r="F79" s="18"/>
      <c r="G79" s="18"/>
      <c r="H79" s="18"/>
      <c r="I79" s="18"/>
      <c r="J79" s="18"/>
      <c r="K79" s="18"/>
      <c r="L79" s="19"/>
      <c r="M79" s="19"/>
      <c r="N79" s="19"/>
      <c r="O79" s="19"/>
      <c r="P79" s="19"/>
      <c r="Q79" s="19"/>
      <c r="R79" s="6" t="str">
        <f aca="false">IF(B79="","",IF(COUNTIF(L79:Q79,"X")=0,"",IF(COUNTIF(L79:Q79,"X")=COUNTA(Model!$B$12:$B$17),"ALL",_xlfn.TEXTJOIN(", ",TRUE(),IF(L79="X",L$4,""),IF(M79="X",M$4,""),IF(N79="X",N$4,""),IF(O79="X",O$4,""),IF(P79="X",P$4,""),IF(Q79="X",Q$4,"")))))</f>
        <v/>
      </c>
      <c r="S79" s="6" t="str">
        <f aca="false">IF(B79="","",IF(B79&gt;B78+1,"Level skips a step",IF(AND(B79&gt;0,OR(H79="",H79&lt;=0)),"Qty missing or 0",IF(AND(J79="Existing",K79=""),"Existing ID missing",IF(AND(B79=Model!$B$8+1,COUNTIF(L79:Q79,"X")=0),"Not in any variant",IF(AND(NOT(B79=Model!$B$8+1),COUNTIF(L79:Q79,"X")&gt;0),"X outside configured item","OK"))))))</f>
        <v/>
      </c>
    </row>
    <row r="80" customFormat="false" ht="15" hidden="false" customHeight="false" outlineLevel="0" collapsed="false">
      <c r="A80" s="17" t="str">
        <f aca="false">IF(B80="","",ROW()-4)</f>
        <v/>
      </c>
      <c r="B80" s="18"/>
      <c r="C80" s="18"/>
      <c r="D80" s="18"/>
      <c r="E80" s="12"/>
      <c r="F80" s="18"/>
      <c r="G80" s="18"/>
      <c r="H80" s="18"/>
      <c r="I80" s="18"/>
      <c r="J80" s="18"/>
      <c r="K80" s="18"/>
      <c r="L80" s="19"/>
      <c r="M80" s="19"/>
      <c r="N80" s="19"/>
      <c r="O80" s="19"/>
      <c r="P80" s="19"/>
      <c r="Q80" s="19"/>
      <c r="R80" s="6" t="str">
        <f aca="false">IF(B80="","",IF(COUNTIF(L80:Q80,"X")=0,"",IF(COUNTIF(L80:Q80,"X")=COUNTA(Model!$B$12:$B$17),"ALL",_xlfn.TEXTJOIN(", ",TRUE(),IF(L80="X",L$4,""),IF(M80="X",M$4,""),IF(N80="X",N$4,""),IF(O80="X",O$4,""),IF(P80="X",P$4,""),IF(Q80="X",Q$4,"")))))</f>
        <v/>
      </c>
      <c r="S80" s="6" t="str">
        <f aca="false">IF(B80="","",IF(B80&gt;B79+1,"Level skips a step",IF(AND(B80&gt;0,OR(H80="",H80&lt;=0)),"Qty missing or 0",IF(AND(J80="Existing",K80=""),"Existing ID missing",IF(AND(B80=Model!$B$8+1,COUNTIF(L80:Q80,"X")=0),"Not in any variant",IF(AND(NOT(B80=Model!$B$8+1),COUNTIF(L80:Q80,"X")&gt;0),"X outside configured item","OK"))))))</f>
        <v/>
      </c>
    </row>
    <row r="81" customFormat="false" ht="15" hidden="false" customHeight="false" outlineLevel="0" collapsed="false">
      <c r="A81" s="17" t="str">
        <f aca="false">IF(B81="","",ROW()-4)</f>
        <v/>
      </c>
      <c r="B81" s="18"/>
      <c r="C81" s="18"/>
      <c r="D81" s="18"/>
      <c r="E81" s="12"/>
      <c r="F81" s="18"/>
      <c r="G81" s="18"/>
      <c r="H81" s="18"/>
      <c r="I81" s="18"/>
      <c r="J81" s="18"/>
      <c r="K81" s="18"/>
      <c r="L81" s="19"/>
      <c r="M81" s="19"/>
      <c r="N81" s="19"/>
      <c r="O81" s="19"/>
      <c r="P81" s="19"/>
      <c r="Q81" s="19"/>
      <c r="R81" s="6" t="str">
        <f aca="false">IF(B81="","",IF(COUNTIF(L81:Q81,"X")=0,"",IF(COUNTIF(L81:Q81,"X")=COUNTA(Model!$B$12:$B$17),"ALL",_xlfn.TEXTJOIN(", ",TRUE(),IF(L81="X",L$4,""),IF(M81="X",M$4,""),IF(N81="X",N$4,""),IF(O81="X",O$4,""),IF(P81="X",P$4,""),IF(Q81="X",Q$4,"")))))</f>
        <v/>
      </c>
      <c r="S81" s="6" t="str">
        <f aca="false">IF(B81="","",IF(B81&gt;B80+1,"Level skips a step",IF(AND(B81&gt;0,OR(H81="",H81&lt;=0)),"Qty missing or 0",IF(AND(J81="Existing",K81=""),"Existing ID missing",IF(AND(B81=Model!$B$8+1,COUNTIF(L81:Q81,"X")=0),"Not in any variant",IF(AND(NOT(B81=Model!$B$8+1),COUNTIF(L81:Q81,"X")&gt;0),"X outside configured item","OK"))))))</f>
        <v/>
      </c>
    </row>
    <row r="82" customFormat="false" ht="15" hidden="false" customHeight="false" outlineLevel="0" collapsed="false">
      <c r="A82" s="17" t="str">
        <f aca="false">IF(B82="","",ROW()-4)</f>
        <v/>
      </c>
      <c r="B82" s="18"/>
      <c r="C82" s="18"/>
      <c r="D82" s="18"/>
      <c r="E82" s="12"/>
      <c r="F82" s="18"/>
      <c r="G82" s="18"/>
      <c r="H82" s="18"/>
      <c r="I82" s="18"/>
      <c r="J82" s="18"/>
      <c r="K82" s="18"/>
      <c r="L82" s="19"/>
      <c r="M82" s="19"/>
      <c r="N82" s="19"/>
      <c r="O82" s="19"/>
      <c r="P82" s="19"/>
      <c r="Q82" s="19"/>
      <c r="R82" s="6" t="str">
        <f aca="false">IF(B82="","",IF(COUNTIF(L82:Q82,"X")=0,"",IF(COUNTIF(L82:Q82,"X")=COUNTA(Model!$B$12:$B$17),"ALL",_xlfn.TEXTJOIN(", ",TRUE(),IF(L82="X",L$4,""),IF(M82="X",M$4,""),IF(N82="X",N$4,""),IF(O82="X",O$4,""),IF(P82="X",P$4,""),IF(Q82="X",Q$4,"")))))</f>
        <v/>
      </c>
      <c r="S82" s="6" t="str">
        <f aca="false">IF(B82="","",IF(B82&gt;B81+1,"Level skips a step",IF(AND(B82&gt;0,OR(H82="",H82&lt;=0)),"Qty missing or 0",IF(AND(J82="Existing",K82=""),"Existing ID missing",IF(AND(B82=Model!$B$8+1,COUNTIF(L82:Q82,"X")=0),"Not in any variant",IF(AND(NOT(B82=Model!$B$8+1),COUNTIF(L82:Q82,"X")&gt;0),"X outside configured item","OK"))))))</f>
        <v/>
      </c>
    </row>
    <row r="83" customFormat="false" ht="15" hidden="false" customHeight="false" outlineLevel="0" collapsed="false">
      <c r="A83" s="17" t="str">
        <f aca="false">IF(B83="","",ROW()-4)</f>
        <v/>
      </c>
      <c r="B83" s="18"/>
      <c r="C83" s="18"/>
      <c r="D83" s="18"/>
      <c r="E83" s="12"/>
      <c r="F83" s="18"/>
      <c r="G83" s="18"/>
      <c r="H83" s="18"/>
      <c r="I83" s="18"/>
      <c r="J83" s="18"/>
      <c r="K83" s="18"/>
      <c r="L83" s="19"/>
      <c r="M83" s="19"/>
      <c r="N83" s="19"/>
      <c r="O83" s="19"/>
      <c r="P83" s="19"/>
      <c r="Q83" s="19"/>
      <c r="R83" s="6" t="str">
        <f aca="false">IF(B83="","",IF(COUNTIF(L83:Q83,"X")=0,"",IF(COUNTIF(L83:Q83,"X")=COUNTA(Model!$B$12:$B$17),"ALL",_xlfn.TEXTJOIN(", ",TRUE(),IF(L83="X",L$4,""),IF(M83="X",M$4,""),IF(N83="X",N$4,""),IF(O83="X",O$4,""),IF(P83="X",P$4,""),IF(Q83="X",Q$4,"")))))</f>
        <v/>
      </c>
      <c r="S83" s="6" t="str">
        <f aca="false">IF(B83="","",IF(B83&gt;B82+1,"Level skips a step",IF(AND(B83&gt;0,OR(H83="",H83&lt;=0)),"Qty missing or 0",IF(AND(J83="Existing",K83=""),"Existing ID missing",IF(AND(B83=Model!$B$8+1,COUNTIF(L83:Q83,"X")=0),"Not in any variant",IF(AND(NOT(B83=Model!$B$8+1),COUNTIF(L83:Q83,"X")&gt;0),"X outside configured item","OK"))))))</f>
        <v/>
      </c>
    </row>
    <row r="84" customFormat="false" ht="15" hidden="false" customHeight="false" outlineLevel="0" collapsed="false">
      <c r="A84" s="17" t="str">
        <f aca="false">IF(B84="","",ROW()-4)</f>
        <v/>
      </c>
      <c r="B84" s="18"/>
      <c r="C84" s="18"/>
      <c r="D84" s="18"/>
      <c r="E84" s="12"/>
      <c r="F84" s="18"/>
      <c r="G84" s="18"/>
      <c r="H84" s="18"/>
      <c r="I84" s="18"/>
      <c r="J84" s="18"/>
      <c r="K84" s="18"/>
      <c r="L84" s="19"/>
      <c r="M84" s="19"/>
      <c r="N84" s="19"/>
      <c r="O84" s="19"/>
      <c r="P84" s="19"/>
      <c r="Q84" s="19"/>
      <c r="R84" s="6" t="str">
        <f aca="false">IF(B84="","",IF(COUNTIF(L84:Q84,"X")=0,"",IF(COUNTIF(L84:Q84,"X")=COUNTA(Model!$B$12:$B$17),"ALL",_xlfn.TEXTJOIN(", ",TRUE(),IF(L84="X",L$4,""),IF(M84="X",M$4,""),IF(N84="X",N$4,""),IF(O84="X",O$4,""),IF(P84="X",P$4,""),IF(Q84="X",Q$4,"")))))</f>
        <v/>
      </c>
      <c r="S84" s="6" t="str">
        <f aca="false">IF(B84="","",IF(B84&gt;B83+1,"Level skips a step",IF(AND(B84&gt;0,OR(H84="",H84&lt;=0)),"Qty missing or 0",IF(AND(J84="Existing",K84=""),"Existing ID missing",IF(AND(B84=Model!$B$8+1,COUNTIF(L84:Q84,"X")=0),"Not in any variant",IF(AND(NOT(B84=Model!$B$8+1),COUNTIF(L84:Q84,"X")&gt;0),"X outside configured item","OK"))))))</f>
        <v/>
      </c>
    </row>
    <row r="85" customFormat="false" ht="15" hidden="false" customHeight="false" outlineLevel="0" collapsed="false">
      <c r="A85" s="17" t="str">
        <f aca="false">IF(B85="","",ROW()-4)</f>
        <v/>
      </c>
      <c r="B85" s="18"/>
      <c r="C85" s="18"/>
      <c r="D85" s="18"/>
      <c r="E85" s="12"/>
      <c r="F85" s="18"/>
      <c r="G85" s="18"/>
      <c r="H85" s="18"/>
      <c r="I85" s="18"/>
      <c r="J85" s="18"/>
      <c r="K85" s="18"/>
      <c r="L85" s="19"/>
      <c r="M85" s="19"/>
      <c r="N85" s="19"/>
      <c r="O85" s="19"/>
      <c r="P85" s="19"/>
      <c r="Q85" s="19"/>
      <c r="R85" s="6" t="str">
        <f aca="false">IF(B85="","",IF(COUNTIF(L85:Q85,"X")=0,"",IF(COUNTIF(L85:Q85,"X")=COUNTA(Model!$B$12:$B$17),"ALL",_xlfn.TEXTJOIN(", ",TRUE(),IF(L85="X",L$4,""),IF(M85="X",M$4,""),IF(N85="X",N$4,""),IF(O85="X",O$4,""),IF(P85="X",P$4,""),IF(Q85="X",Q$4,"")))))</f>
        <v/>
      </c>
      <c r="S85" s="6" t="str">
        <f aca="false">IF(B85="","",IF(B85&gt;B84+1,"Level skips a step",IF(AND(B85&gt;0,OR(H85="",H85&lt;=0)),"Qty missing or 0",IF(AND(J85="Existing",K85=""),"Existing ID missing",IF(AND(B85=Model!$B$8+1,COUNTIF(L85:Q85,"X")=0),"Not in any variant",IF(AND(NOT(B85=Model!$B$8+1),COUNTIF(L85:Q85,"X")&gt;0),"X outside configured item","OK"))))))</f>
        <v/>
      </c>
    </row>
    <row r="86" customFormat="false" ht="15" hidden="false" customHeight="false" outlineLevel="0" collapsed="false">
      <c r="A86" s="17" t="str">
        <f aca="false">IF(B86="","",ROW()-4)</f>
        <v/>
      </c>
      <c r="B86" s="18"/>
      <c r="C86" s="18"/>
      <c r="D86" s="18"/>
      <c r="E86" s="12"/>
      <c r="F86" s="18"/>
      <c r="G86" s="18"/>
      <c r="H86" s="18"/>
      <c r="I86" s="18"/>
      <c r="J86" s="18"/>
      <c r="K86" s="18"/>
      <c r="L86" s="19"/>
      <c r="M86" s="19"/>
      <c r="N86" s="19"/>
      <c r="O86" s="19"/>
      <c r="P86" s="19"/>
      <c r="Q86" s="19"/>
      <c r="R86" s="6" t="str">
        <f aca="false">IF(B86="","",IF(COUNTIF(L86:Q86,"X")=0,"",IF(COUNTIF(L86:Q86,"X")=COUNTA(Model!$B$12:$B$17),"ALL",_xlfn.TEXTJOIN(", ",TRUE(),IF(L86="X",L$4,""),IF(M86="X",M$4,""),IF(N86="X",N$4,""),IF(O86="X",O$4,""),IF(P86="X",P$4,""),IF(Q86="X",Q$4,"")))))</f>
        <v/>
      </c>
      <c r="S86" s="6" t="str">
        <f aca="false">IF(B86="","",IF(B86&gt;B85+1,"Level skips a step",IF(AND(B86&gt;0,OR(H86="",H86&lt;=0)),"Qty missing or 0",IF(AND(J86="Existing",K86=""),"Existing ID missing",IF(AND(B86=Model!$B$8+1,COUNTIF(L86:Q86,"X")=0),"Not in any variant",IF(AND(NOT(B86=Model!$B$8+1),COUNTIF(L86:Q86,"X")&gt;0),"X outside configured item","OK"))))))</f>
        <v/>
      </c>
    </row>
    <row r="87" customFormat="false" ht="15" hidden="false" customHeight="false" outlineLevel="0" collapsed="false">
      <c r="A87" s="17" t="str">
        <f aca="false">IF(B87="","",ROW()-4)</f>
        <v/>
      </c>
      <c r="B87" s="18"/>
      <c r="C87" s="18"/>
      <c r="D87" s="18"/>
      <c r="E87" s="12"/>
      <c r="F87" s="18"/>
      <c r="G87" s="18"/>
      <c r="H87" s="18"/>
      <c r="I87" s="18"/>
      <c r="J87" s="18"/>
      <c r="K87" s="18"/>
      <c r="L87" s="19"/>
      <c r="M87" s="19"/>
      <c r="N87" s="19"/>
      <c r="O87" s="19"/>
      <c r="P87" s="19"/>
      <c r="Q87" s="19"/>
      <c r="R87" s="6" t="str">
        <f aca="false">IF(B87="","",IF(COUNTIF(L87:Q87,"X")=0,"",IF(COUNTIF(L87:Q87,"X")=COUNTA(Model!$B$12:$B$17),"ALL",_xlfn.TEXTJOIN(", ",TRUE(),IF(L87="X",L$4,""),IF(M87="X",M$4,""),IF(N87="X",N$4,""),IF(O87="X",O$4,""),IF(P87="X",P$4,""),IF(Q87="X",Q$4,"")))))</f>
        <v/>
      </c>
      <c r="S87" s="6" t="str">
        <f aca="false">IF(B87="","",IF(B87&gt;B86+1,"Level skips a step",IF(AND(B87&gt;0,OR(H87="",H87&lt;=0)),"Qty missing or 0",IF(AND(J87="Existing",K87=""),"Existing ID missing",IF(AND(B87=Model!$B$8+1,COUNTIF(L87:Q87,"X")=0),"Not in any variant",IF(AND(NOT(B87=Model!$B$8+1),COUNTIF(L87:Q87,"X")&gt;0),"X outside configured item","OK"))))))</f>
        <v/>
      </c>
    </row>
    <row r="88" customFormat="false" ht="15" hidden="false" customHeight="false" outlineLevel="0" collapsed="false">
      <c r="A88" s="17" t="str">
        <f aca="false">IF(B88="","",ROW()-4)</f>
        <v/>
      </c>
      <c r="B88" s="18"/>
      <c r="C88" s="18"/>
      <c r="D88" s="18"/>
      <c r="E88" s="12"/>
      <c r="F88" s="18"/>
      <c r="G88" s="18"/>
      <c r="H88" s="18"/>
      <c r="I88" s="18"/>
      <c r="J88" s="18"/>
      <c r="K88" s="18"/>
      <c r="L88" s="19"/>
      <c r="M88" s="19"/>
      <c r="N88" s="19"/>
      <c r="O88" s="19"/>
      <c r="P88" s="19"/>
      <c r="Q88" s="19"/>
      <c r="R88" s="6" t="str">
        <f aca="false">IF(B88="","",IF(COUNTIF(L88:Q88,"X")=0,"",IF(COUNTIF(L88:Q88,"X")=COUNTA(Model!$B$12:$B$17),"ALL",_xlfn.TEXTJOIN(", ",TRUE(),IF(L88="X",L$4,""),IF(M88="X",M$4,""),IF(N88="X",N$4,""),IF(O88="X",O$4,""),IF(P88="X",P$4,""),IF(Q88="X",Q$4,"")))))</f>
        <v/>
      </c>
      <c r="S88" s="6" t="str">
        <f aca="false">IF(B88="","",IF(B88&gt;B87+1,"Level skips a step",IF(AND(B88&gt;0,OR(H88="",H88&lt;=0)),"Qty missing or 0",IF(AND(J88="Existing",K88=""),"Existing ID missing",IF(AND(B88=Model!$B$8+1,COUNTIF(L88:Q88,"X")=0),"Not in any variant",IF(AND(NOT(B88=Model!$B$8+1),COUNTIF(L88:Q88,"X")&gt;0),"X outside configured item","OK"))))))</f>
        <v/>
      </c>
    </row>
    <row r="89" customFormat="false" ht="15" hidden="false" customHeight="false" outlineLevel="0" collapsed="false">
      <c r="A89" s="17" t="str">
        <f aca="false">IF(B89="","",ROW()-4)</f>
        <v/>
      </c>
      <c r="B89" s="18"/>
      <c r="C89" s="18"/>
      <c r="D89" s="18"/>
      <c r="E89" s="12"/>
      <c r="F89" s="18"/>
      <c r="G89" s="18"/>
      <c r="H89" s="18"/>
      <c r="I89" s="18"/>
      <c r="J89" s="18"/>
      <c r="K89" s="18"/>
      <c r="L89" s="19"/>
      <c r="M89" s="19"/>
      <c r="N89" s="19"/>
      <c r="O89" s="19"/>
      <c r="P89" s="19"/>
      <c r="Q89" s="19"/>
      <c r="R89" s="6" t="str">
        <f aca="false">IF(B89="","",IF(COUNTIF(L89:Q89,"X")=0,"",IF(COUNTIF(L89:Q89,"X")=COUNTA(Model!$B$12:$B$17),"ALL",_xlfn.TEXTJOIN(", ",TRUE(),IF(L89="X",L$4,""),IF(M89="X",M$4,""),IF(N89="X",N$4,""),IF(O89="X",O$4,""),IF(P89="X",P$4,""),IF(Q89="X",Q$4,"")))))</f>
        <v/>
      </c>
      <c r="S89" s="6" t="str">
        <f aca="false">IF(B89="","",IF(B89&gt;B88+1,"Level skips a step",IF(AND(B89&gt;0,OR(H89="",H89&lt;=0)),"Qty missing or 0",IF(AND(J89="Existing",K89=""),"Existing ID missing",IF(AND(B89=Model!$B$8+1,COUNTIF(L89:Q89,"X")=0),"Not in any variant",IF(AND(NOT(B89=Model!$B$8+1),COUNTIF(L89:Q89,"X")&gt;0),"X outside configured item","OK"))))))</f>
        <v/>
      </c>
    </row>
    <row r="90" customFormat="false" ht="15" hidden="false" customHeight="false" outlineLevel="0" collapsed="false">
      <c r="A90" s="17" t="str">
        <f aca="false">IF(B90="","",ROW()-4)</f>
        <v/>
      </c>
      <c r="B90" s="18"/>
      <c r="C90" s="18"/>
      <c r="D90" s="18"/>
      <c r="E90" s="12"/>
      <c r="F90" s="18"/>
      <c r="G90" s="18"/>
      <c r="H90" s="18"/>
      <c r="I90" s="18"/>
      <c r="J90" s="18"/>
      <c r="K90" s="18"/>
      <c r="L90" s="19"/>
      <c r="M90" s="19"/>
      <c r="N90" s="19"/>
      <c r="O90" s="19"/>
      <c r="P90" s="19"/>
      <c r="Q90" s="19"/>
      <c r="R90" s="6" t="str">
        <f aca="false">IF(B90="","",IF(COUNTIF(L90:Q90,"X")=0,"",IF(COUNTIF(L90:Q90,"X")=COUNTA(Model!$B$12:$B$17),"ALL",_xlfn.TEXTJOIN(", ",TRUE(),IF(L90="X",L$4,""),IF(M90="X",M$4,""),IF(N90="X",N$4,""),IF(O90="X",O$4,""),IF(P90="X",P$4,""),IF(Q90="X",Q$4,"")))))</f>
        <v/>
      </c>
      <c r="S90" s="6" t="str">
        <f aca="false">IF(B90="","",IF(B90&gt;B89+1,"Level skips a step",IF(AND(B90&gt;0,OR(H90="",H90&lt;=0)),"Qty missing or 0",IF(AND(J90="Existing",K90=""),"Existing ID missing",IF(AND(B90=Model!$B$8+1,COUNTIF(L90:Q90,"X")=0),"Not in any variant",IF(AND(NOT(B90=Model!$B$8+1),COUNTIF(L90:Q90,"X")&gt;0),"X outside configured item","OK"))))))</f>
        <v/>
      </c>
    </row>
    <row r="91" customFormat="false" ht="15" hidden="false" customHeight="false" outlineLevel="0" collapsed="false">
      <c r="A91" s="17" t="str">
        <f aca="false">IF(B91="","",ROW()-4)</f>
        <v/>
      </c>
      <c r="B91" s="18"/>
      <c r="C91" s="18"/>
      <c r="D91" s="18"/>
      <c r="E91" s="12"/>
      <c r="F91" s="18"/>
      <c r="G91" s="18"/>
      <c r="H91" s="18"/>
      <c r="I91" s="18"/>
      <c r="J91" s="18"/>
      <c r="K91" s="18"/>
      <c r="L91" s="19"/>
      <c r="M91" s="19"/>
      <c r="N91" s="19"/>
      <c r="O91" s="19"/>
      <c r="P91" s="19"/>
      <c r="Q91" s="19"/>
      <c r="R91" s="6" t="str">
        <f aca="false">IF(B91="","",IF(COUNTIF(L91:Q91,"X")=0,"",IF(COUNTIF(L91:Q91,"X")=COUNTA(Model!$B$12:$B$17),"ALL",_xlfn.TEXTJOIN(", ",TRUE(),IF(L91="X",L$4,""),IF(M91="X",M$4,""),IF(N91="X",N$4,""),IF(O91="X",O$4,""),IF(P91="X",P$4,""),IF(Q91="X",Q$4,"")))))</f>
        <v/>
      </c>
      <c r="S91" s="6" t="str">
        <f aca="false">IF(B91="","",IF(B91&gt;B90+1,"Level skips a step",IF(AND(B91&gt;0,OR(H91="",H91&lt;=0)),"Qty missing or 0",IF(AND(J91="Existing",K91=""),"Existing ID missing",IF(AND(B91=Model!$B$8+1,COUNTIF(L91:Q91,"X")=0),"Not in any variant",IF(AND(NOT(B91=Model!$B$8+1),COUNTIF(L91:Q91,"X")&gt;0),"X outside configured item","OK"))))))</f>
        <v/>
      </c>
    </row>
    <row r="92" customFormat="false" ht="15" hidden="false" customHeight="false" outlineLevel="0" collapsed="false">
      <c r="A92" s="17" t="str">
        <f aca="false">IF(B92="","",ROW()-4)</f>
        <v/>
      </c>
      <c r="B92" s="18"/>
      <c r="C92" s="18"/>
      <c r="D92" s="18"/>
      <c r="E92" s="12"/>
      <c r="F92" s="18"/>
      <c r="G92" s="18"/>
      <c r="H92" s="18"/>
      <c r="I92" s="18"/>
      <c r="J92" s="18"/>
      <c r="K92" s="18"/>
      <c r="L92" s="19"/>
      <c r="M92" s="19"/>
      <c r="N92" s="19"/>
      <c r="O92" s="19"/>
      <c r="P92" s="19"/>
      <c r="Q92" s="19"/>
      <c r="R92" s="6" t="str">
        <f aca="false">IF(B92="","",IF(COUNTIF(L92:Q92,"X")=0,"",IF(COUNTIF(L92:Q92,"X")=COUNTA(Model!$B$12:$B$17),"ALL",_xlfn.TEXTJOIN(", ",TRUE(),IF(L92="X",L$4,""),IF(M92="X",M$4,""),IF(N92="X",N$4,""),IF(O92="X",O$4,""),IF(P92="X",P$4,""),IF(Q92="X",Q$4,"")))))</f>
        <v/>
      </c>
      <c r="S92" s="6" t="str">
        <f aca="false">IF(B92="","",IF(B92&gt;B91+1,"Level skips a step",IF(AND(B92&gt;0,OR(H92="",H92&lt;=0)),"Qty missing or 0",IF(AND(J92="Existing",K92=""),"Existing ID missing",IF(AND(B92=Model!$B$8+1,COUNTIF(L92:Q92,"X")=0),"Not in any variant",IF(AND(NOT(B92=Model!$B$8+1),COUNTIF(L92:Q92,"X")&gt;0),"X outside configured item","OK"))))))</f>
        <v/>
      </c>
    </row>
    <row r="93" customFormat="false" ht="15" hidden="false" customHeight="false" outlineLevel="0" collapsed="false">
      <c r="A93" s="17" t="str">
        <f aca="false">IF(B93="","",ROW()-4)</f>
        <v/>
      </c>
      <c r="B93" s="18"/>
      <c r="C93" s="18"/>
      <c r="D93" s="18"/>
      <c r="E93" s="12"/>
      <c r="F93" s="18"/>
      <c r="G93" s="18"/>
      <c r="H93" s="18"/>
      <c r="I93" s="18"/>
      <c r="J93" s="18"/>
      <c r="K93" s="18"/>
      <c r="L93" s="19"/>
      <c r="M93" s="19"/>
      <c r="N93" s="19"/>
      <c r="O93" s="19"/>
      <c r="P93" s="19"/>
      <c r="Q93" s="19"/>
      <c r="R93" s="6" t="str">
        <f aca="false">IF(B93="","",IF(COUNTIF(L93:Q93,"X")=0,"",IF(COUNTIF(L93:Q93,"X")=COUNTA(Model!$B$12:$B$17),"ALL",_xlfn.TEXTJOIN(", ",TRUE(),IF(L93="X",L$4,""),IF(M93="X",M$4,""),IF(N93="X",N$4,""),IF(O93="X",O$4,""),IF(P93="X",P$4,""),IF(Q93="X",Q$4,"")))))</f>
        <v/>
      </c>
      <c r="S93" s="6" t="str">
        <f aca="false">IF(B93="","",IF(B93&gt;B92+1,"Level skips a step",IF(AND(B93&gt;0,OR(H93="",H93&lt;=0)),"Qty missing or 0",IF(AND(J93="Existing",K93=""),"Existing ID missing",IF(AND(B93=Model!$B$8+1,COUNTIF(L93:Q93,"X")=0),"Not in any variant",IF(AND(NOT(B93=Model!$B$8+1),COUNTIF(L93:Q93,"X")&gt;0),"X outside configured item","OK"))))))</f>
        <v/>
      </c>
    </row>
    <row r="94" customFormat="false" ht="15" hidden="false" customHeight="false" outlineLevel="0" collapsed="false">
      <c r="A94" s="17" t="str">
        <f aca="false">IF(B94="","",ROW()-4)</f>
        <v/>
      </c>
      <c r="B94" s="18"/>
      <c r="C94" s="18"/>
      <c r="D94" s="18"/>
      <c r="E94" s="12"/>
      <c r="F94" s="18"/>
      <c r="G94" s="18"/>
      <c r="H94" s="18"/>
      <c r="I94" s="18"/>
      <c r="J94" s="18"/>
      <c r="K94" s="18"/>
      <c r="L94" s="19"/>
      <c r="M94" s="19"/>
      <c r="N94" s="19"/>
      <c r="O94" s="19"/>
      <c r="P94" s="19"/>
      <c r="Q94" s="19"/>
      <c r="R94" s="6" t="str">
        <f aca="false">IF(B94="","",IF(COUNTIF(L94:Q94,"X")=0,"",IF(COUNTIF(L94:Q94,"X")=COUNTA(Model!$B$12:$B$17),"ALL",_xlfn.TEXTJOIN(", ",TRUE(),IF(L94="X",L$4,""),IF(M94="X",M$4,""),IF(N94="X",N$4,""),IF(O94="X",O$4,""),IF(P94="X",P$4,""),IF(Q94="X",Q$4,"")))))</f>
        <v/>
      </c>
      <c r="S94" s="6" t="str">
        <f aca="false">IF(B94="","",IF(B94&gt;B93+1,"Level skips a step",IF(AND(B94&gt;0,OR(H94="",H94&lt;=0)),"Qty missing or 0",IF(AND(J94="Existing",K94=""),"Existing ID missing",IF(AND(B94=Model!$B$8+1,COUNTIF(L94:Q94,"X")=0),"Not in any variant",IF(AND(NOT(B94=Model!$B$8+1),COUNTIF(L94:Q94,"X")&gt;0),"X outside configured item","OK"))))))</f>
        <v/>
      </c>
    </row>
    <row r="95" customFormat="false" ht="15" hidden="false" customHeight="false" outlineLevel="0" collapsed="false">
      <c r="A95" s="17" t="str">
        <f aca="false">IF(B95="","",ROW()-4)</f>
        <v/>
      </c>
      <c r="B95" s="18"/>
      <c r="C95" s="18"/>
      <c r="D95" s="18"/>
      <c r="E95" s="12"/>
      <c r="F95" s="18"/>
      <c r="G95" s="18"/>
      <c r="H95" s="18"/>
      <c r="I95" s="18"/>
      <c r="J95" s="18"/>
      <c r="K95" s="18"/>
      <c r="L95" s="19"/>
      <c r="M95" s="19"/>
      <c r="N95" s="19"/>
      <c r="O95" s="19"/>
      <c r="P95" s="19"/>
      <c r="Q95" s="19"/>
      <c r="R95" s="6" t="str">
        <f aca="false">IF(B95="","",IF(COUNTIF(L95:Q95,"X")=0,"",IF(COUNTIF(L95:Q95,"X")=COUNTA(Model!$B$12:$B$17),"ALL",_xlfn.TEXTJOIN(", ",TRUE(),IF(L95="X",L$4,""),IF(M95="X",M$4,""),IF(N95="X",N$4,""),IF(O95="X",O$4,""),IF(P95="X",P$4,""),IF(Q95="X",Q$4,"")))))</f>
        <v/>
      </c>
      <c r="S95" s="6" t="str">
        <f aca="false">IF(B95="","",IF(B95&gt;B94+1,"Level skips a step",IF(AND(B95&gt;0,OR(H95="",H95&lt;=0)),"Qty missing or 0",IF(AND(J95="Existing",K95=""),"Existing ID missing",IF(AND(B95=Model!$B$8+1,COUNTIF(L95:Q95,"X")=0),"Not in any variant",IF(AND(NOT(B95=Model!$B$8+1),COUNTIF(L95:Q95,"X")&gt;0),"X outside configured item","OK"))))))</f>
        <v/>
      </c>
    </row>
    <row r="96" customFormat="false" ht="15" hidden="false" customHeight="false" outlineLevel="0" collapsed="false">
      <c r="A96" s="17" t="str">
        <f aca="false">IF(B96="","",ROW()-4)</f>
        <v/>
      </c>
      <c r="B96" s="18"/>
      <c r="C96" s="18"/>
      <c r="D96" s="18"/>
      <c r="E96" s="12"/>
      <c r="F96" s="18"/>
      <c r="G96" s="18"/>
      <c r="H96" s="18"/>
      <c r="I96" s="18"/>
      <c r="J96" s="18"/>
      <c r="K96" s="18"/>
      <c r="L96" s="19"/>
      <c r="M96" s="19"/>
      <c r="N96" s="19"/>
      <c r="O96" s="19"/>
      <c r="P96" s="19"/>
      <c r="Q96" s="19"/>
      <c r="R96" s="6" t="str">
        <f aca="false">IF(B96="","",IF(COUNTIF(L96:Q96,"X")=0,"",IF(COUNTIF(L96:Q96,"X")=COUNTA(Model!$B$12:$B$17),"ALL",_xlfn.TEXTJOIN(", ",TRUE(),IF(L96="X",L$4,""),IF(M96="X",M$4,""),IF(N96="X",N$4,""),IF(O96="X",O$4,""),IF(P96="X",P$4,""),IF(Q96="X",Q$4,"")))))</f>
        <v/>
      </c>
      <c r="S96" s="6" t="str">
        <f aca="false">IF(B96="","",IF(B96&gt;B95+1,"Level skips a step",IF(AND(B96&gt;0,OR(H96="",H96&lt;=0)),"Qty missing or 0",IF(AND(J96="Existing",K96=""),"Existing ID missing",IF(AND(B96=Model!$B$8+1,COUNTIF(L96:Q96,"X")=0),"Not in any variant",IF(AND(NOT(B96=Model!$B$8+1),COUNTIF(L96:Q96,"X")&gt;0),"X outside configured item","OK"))))))</f>
        <v/>
      </c>
    </row>
    <row r="97" customFormat="false" ht="15" hidden="false" customHeight="false" outlineLevel="0" collapsed="false">
      <c r="A97" s="17" t="str">
        <f aca="false">IF(B97="","",ROW()-4)</f>
        <v/>
      </c>
      <c r="B97" s="18"/>
      <c r="C97" s="18"/>
      <c r="D97" s="18"/>
      <c r="E97" s="12"/>
      <c r="F97" s="18"/>
      <c r="G97" s="18"/>
      <c r="H97" s="18"/>
      <c r="I97" s="18"/>
      <c r="J97" s="18"/>
      <c r="K97" s="18"/>
      <c r="L97" s="19"/>
      <c r="M97" s="19"/>
      <c r="N97" s="19"/>
      <c r="O97" s="19"/>
      <c r="P97" s="19"/>
      <c r="Q97" s="19"/>
      <c r="R97" s="6" t="str">
        <f aca="false">IF(B97="","",IF(COUNTIF(L97:Q97,"X")=0,"",IF(COUNTIF(L97:Q97,"X")=COUNTA(Model!$B$12:$B$17),"ALL",_xlfn.TEXTJOIN(", ",TRUE(),IF(L97="X",L$4,""),IF(M97="X",M$4,""),IF(N97="X",N$4,""),IF(O97="X",O$4,""),IF(P97="X",P$4,""),IF(Q97="X",Q$4,"")))))</f>
        <v/>
      </c>
      <c r="S97" s="6" t="str">
        <f aca="false">IF(B97="","",IF(B97&gt;B96+1,"Level skips a step",IF(AND(B97&gt;0,OR(H97="",H97&lt;=0)),"Qty missing or 0",IF(AND(J97="Existing",K97=""),"Existing ID missing",IF(AND(B97=Model!$B$8+1,COUNTIF(L97:Q97,"X")=0),"Not in any variant",IF(AND(NOT(B97=Model!$B$8+1),COUNTIF(L97:Q97,"X")&gt;0),"X outside configured item","OK"))))))</f>
        <v/>
      </c>
    </row>
    <row r="98" customFormat="false" ht="15" hidden="false" customHeight="false" outlineLevel="0" collapsed="false">
      <c r="A98" s="17" t="str">
        <f aca="false">IF(B98="","",ROW()-4)</f>
        <v/>
      </c>
      <c r="B98" s="18"/>
      <c r="C98" s="18"/>
      <c r="D98" s="18"/>
      <c r="E98" s="12"/>
      <c r="F98" s="18"/>
      <c r="G98" s="18"/>
      <c r="H98" s="18"/>
      <c r="I98" s="18"/>
      <c r="J98" s="18"/>
      <c r="K98" s="18"/>
      <c r="L98" s="19"/>
      <c r="M98" s="19"/>
      <c r="N98" s="19"/>
      <c r="O98" s="19"/>
      <c r="P98" s="19"/>
      <c r="Q98" s="19"/>
      <c r="R98" s="6" t="str">
        <f aca="false">IF(B98="","",IF(COUNTIF(L98:Q98,"X")=0,"",IF(COUNTIF(L98:Q98,"X")=COUNTA(Model!$B$12:$B$17),"ALL",_xlfn.TEXTJOIN(", ",TRUE(),IF(L98="X",L$4,""),IF(M98="X",M$4,""),IF(N98="X",N$4,""),IF(O98="X",O$4,""),IF(P98="X",P$4,""),IF(Q98="X",Q$4,"")))))</f>
        <v/>
      </c>
      <c r="S98" s="6" t="str">
        <f aca="false">IF(B98="","",IF(B98&gt;B97+1,"Level skips a step",IF(AND(B98&gt;0,OR(H98="",H98&lt;=0)),"Qty missing or 0",IF(AND(J98="Existing",K98=""),"Existing ID missing",IF(AND(B98=Model!$B$8+1,COUNTIF(L98:Q98,"X")=0),"Not in any variant",IF(AND(NOT(B98=Model!$B$8+1),COUNTIF(L98:Q98,"X")&gt;0),"X outside configured item","OK"))))))</f>
        <v/>
      </c>
    </row>
    <row r="99" customFormat="false" ht="15" hidden="false" customHeight="false" outlineLevel="0" collapsed="false">
      <c r="A99" s="17" t="str">
        <f aca="false">IF(B99="","",ROW()-4)</f>
        <v/>
      </c>
      <c r="B99" s="18"/>
      <c r="C99" s="18"/>
      <c r="D99" s="18"/>
      <c r="E99" s="12"/>
      <c r="F99" s="18"/>
      <c r="G99" s="18"/>
      <c r="H99" s="18"/>
      <c r="I99" s="18"/>
      <c r="J99" s="18"/>
      <c r="K99" s="18"/>
      <c r="L99" s="19"/>
      <c r="M99" s="19"/>
      <c r="N99" s="19"/>
      <c r="O99" s="19"/>
      <c r="P99" s="19"/>
      <c r="Q99" s="19"/>
      <c r="R99" s="6" t="str">
        <f aca="false">IF(B99="","",IF(COUNTIF(L99:Q99,"X")=0,"",IF(COUNTIF(L99:Q99,"X")=COUNTA(Model!$B$12:$B$17),"ALL",_xlfn.TEXTJOIN(", ",TRUE(),IF(L99="X",L$4,""),IF(M99="X",M$4,""),IF(N99="X",N$4,""),IF(O99="X",O$4,""),IF(P99="X",P$4,""),IF(Q99="X",Q$4,"")))))</f>
        <v/>
      </c>
      <c r="S99" s="6" t="str">
        <f aca="false">IF(B99="","",IF(B99&gt;B98+1,"Level skips a step",IF(AND(B99&gt;0,OR(H99="",H99&lt;=0)),"Qty missing or 0",IF(AND(J99="Existing",K99=""),"Existing ID missing",IF(AND(B99=Model!$B$8+1,COUNTIF(L99:Q99,"X")=0),"Not in any variant",IF(AND(NOT(B99=Model!$B$8+1),COUNTIF(L99:Q99,"X")&gt;0),"X outside configured item","OK"))))))</f>
        <v/>
      </c>
    </row>
    <row r="100" customFormat="false" ht="15" hidden="false" customHeight="false" outlineLevel="0" collapsed="false">
      <c r="A100" s="17" t="str">
        <f aca="false">IF(B100="","",ROW()-4)</f>
        <v/>
      </c>
      <c r="B100" s="18"/>
      <c r="C100" s="18"/>
      <c r="D100" s="18"/>
      <c r="E100" s="12"/>
      <c r="F100" s="18"/>
      <c r="G100" s="18"/>
      <c r="H100" s="18"/>
      <c r="I100" s="18"/>
      <c r="J100" s="18"/>
      <c r="K100" s="18"/>
      <c r="L100" s="19"/>
      <c r="M100" s="19"/>
      <c r="N100" s="19"/>
      <c r="O100" s="19"/>
      <c r="P100" s="19"/>
      <c r="Q100" s="19"/>
      <c r="R100" s="6" t="str">
        <f aca="false">IF(B100="","",IF(COUNTIF(L100:Q100,"X")=0,"",IF(COUNTIF(L100:Q100,"X")=COUNTA(Model!$B$12:$B$17),"ALL",_xlfn.TEXTJOIN(", ",TRUE(),IF(L100="X",L$4,""),IF(M100="X",M$4,""),IF(N100="X",N$4,""),IF(O100="X",O$4,""),IF(P100="X",P$4,""),IF(Q100="X",Q$4,"")))))</f>
        <v/>
      </c>
      <c r="S100" s="6" t="str">
        <f aca="false">IF(B100="","",IF(B100&gt;B99+1,"Level skips a step",IF(AND(B100&gt;0,OR(H100="",H100&lt;=0)),"Qty missing or 0",IF(AND(J100="Existing",K100=""),"Existing ID missing",IF(AND(B100=Model!$B$8+1,COUNTIF(L100:Q100,"X")=0),"Not in any variant",IF(AND(NOT(B100=Model!$B$8+1),COUNTIF(L100:Q100,"X")&gt;0),"X outside configured item","OK"))))))</f>
        <v/>
      </c>
    </row>
    <row r="101" customFormat="false" ht="15" hidden="false" customHeight="false" outlineLevel="0" collapsed="false">
      <c r="A101" s="17" t="str">
        <f aca="false">IF(B101="","",ROW()-4)</f>
        <v/>
      </c>
      <c r="B101" s="18"/>
      <c r="C101" s="18"/>
      <c r="D101" s="18"/>
      <c r="E101" s="12"/>
      <c r="F101" s="18"/>
      <c r="G101" s="18"/>
      <c r="H101" s="18"/>
      <c r="I101" s="18"/>
      <c r="J101" s="18"/>
      <c r="K101" s="18"/>
      <c r="L101" s="19"/>
      <c r="M101" s="19"/>
      <c r="N101" s="19"/>
      <c r="O101" s="19"/>
      <c r="P101" s="19"/>
      <c r="Q101" s="19"/>
      <c r="R101" s="6" t="str">
        <f aca="false">IF(B101="","",IF(COUNTIF(L101:Q101,"X")=0,"",IF(COUNTIF(L101:Q101,"X")=COUNTA(Model!$B$12:$B$17),"ALL",_xlfn.TEXTJOIN(", ",TRUE(),IF(L101="X",L$4,""),IF(M101="X",M$4,""),IF(N101="X",N$4,""),IF(O101="X",O$4,""),IF(P101="X",P$4,""),IF(Q101="X",Q$4,"")))))</f>
        <v/>
      </c>
      <c r="S101" s="6" t="str">
        <f aca="false">IF(B101="","",IF(B101&gt;B100+1,"Level skips a step",IF(AND(B101&gt;0,OR(H101="",H101&lt;=0)),"Qty missing or 0",IF(AND(J101="Existing",K101=""),"Existing ID missing",IF(AND(B101=Model!$B$8+1,COUNTIF(L101:Q101,"X")=0),"Not in any variant",IF(AND(NOT(B101=Model!$B$8+1),COUNTIF(L101:Q101,"X")&gt;0),"X outside configured item","OK"))))))</f>
        <v/>
      </c>
    </row>
    <row r="102" customFormat="false" ht="15" hidden="false" customHeight="false" outlineLevel="0" collapsed="false">
      <c r="A102" s="17" t="str">
        <f aca="false">IF(B102="","",ROW()-4)</f>
        <v/>
      </c>
      <c r="B102" s="18"/>
      <c r="C102" s="18"/>
      <c r="D102" s="18"/>
      <c r="E102" s="12"/>
      <c r="F102" s="18"/>
      <c r="G102" s="18"/>
      <c r="H102" s="18"/>
      <c r="I102" s="18"/>
      <c r="J102" s="18"/>
      <c r="K102" s="18"/>
      <c r="L102" s="19"/>
      <c r="M102" s="19"/>
      <c r="N102" s="19"/>
      <c r="O102" s="19"/>
      <c r="P102" s="19"/>
      <c r="Q102" s="19"/>
      <c r="R102" s="6" t="str">
        <f aca="false">IF(B102="","",IF(COUNTIF(L102:Q102,"X")=0,"",IF(COUNTIF(L102:Q102,"X")=COUNTA(Model!$B$12:$B$17),"ALL",_xlfn.TEXTJOIN(", ",TRUE(),IF(L102="X",L$4,""),IF(M102="X",M$4,""),IF(N102="X",N$4,""),IF(O102="X",O$4,""),IF(P102="X",P$4,""),IF(Q102="X",Q$4,"")))))</f>
        <v/>
      </c>
      <c r="S102" s="6" t="str">
        <f aca="false">IF(B102="","",IF(B102&gt;B101+1,"Level skips a step",IF(AND(B102&gt;0,OR(H102="",H102&lt;=0)),"Qty missing or 0",IF(AND(J102="Existing",K102=""),"Existing ID missing",IF(AND(B102=Model!$B$8+1,COUNTIF(L102:Q102,"X")=0),"Not in any variant",IF(AND(NOT(B102=Model!$B$8+1),COUNTIF(L102:Q102,"X")&gt;0),"X outside configured item","OK"))))))</f>
        <v/>
      </c>
    </row>
    <row r="103" customFormat="false" ht="15" hidden="false" customHeight="false" outlineLevel="0" collapsed="false">
      <c r="A103" s="17" t="str">
        <f aca="false">IF(B103="","",ROW()-4)</f>
        <v/>
      </c>
      <c r="B103" s="18"/>
      <c r="C103" s="18"/>
      <c r="D103" s="18"/>
      <c r="E103" s="12"/>
      <c r="F103" s="18"/>
      <c r="G103" s="18"/>
      <c r="H103" s="18"/>
      <c r="I103" s="18"/>
      <c r="J103" s="18"/>
      <c r="K103" s="18"/>
      <c r="L103" s="19"/>
      <c r="M103" s="19"/>
      <c r="N103" s="19"/>
      <c r="O103" s="19"/>
      <c r="P103" s="19"/>
      <c r="Q103" s="19"/>
      <c r="R103" s="6" t="str">
        <f aca="false">IF(B103="","",IF(COUNTIF(L103:Q103,"X")=0,"",IF(COUNTIF(L103:Q103,"X")=COUNTA(Model!$B$12:$B$17),"ALL",_xlfn.TEXTJOIN(", ",TRUE(),IF(L103="X",L$4,""),IF(M103="X",M$4,""),IF(N103="X",N$4,""),IF(O103="X",O$4,""),IF(P103="X",P$4,""),IF(Q103="X",Q$4,"")))))</f>
        <v/>
      </c>
      <c r="S103" s="6" t="str">
        <f aca="false">IF(B103="","",IF(B103&gt;B102+1,"Level skips a step",IF(AND(B103&gt;0,OR(H103="",H103&lt;=0)),"Qty missing or 0",IF(AND(J103="Existing",K103=""),"Existing ID missing",IF(AND(B103=Model!$B$8+1,COUNTIF(L103:Q103,"X")=0),"Not in any variant",IF(AND(NOT(B103=Model!$B$8+1),COUNTIF(L103:Q103,"X")&gt;0),"X outside configured item","OK"))))))</f>
        <v/>
      </c>
    </row>
    <row r="104" customFormat="false" ht="15" hidden="false" customHeight="false" outlineLevel="0" collapsed="false">
      <c r="A104" s="17" t="str">
        <f aca="false">IF(B104="","",ROW()-4)</f>
        <v/>
      </c>
      <c r="B104" s="18"/>
      <c r="C104" s="18"/>
      <c r="D104" s="18"/>
      <c r="E104" s="12"/>
      <c r="F104" s="18"/>
      <c r="G104" s="18"/>
      <c r="H104" s="18"/>
      <c r="I104" s="18"/>
      <c r="J104" s="18"/>
      <c r="K104" s="18"/>
      <c r="L104" s="19"/>
      <c r="M104" s="19"/>
      <c r="N104" s="19"/>
      <c r="O104" s="19"/>
      <c r="P104" s="19"/>
      <c r="Q104" s="19"/>
      <c r="R104" s="6" t="str">
        <f aca="false">IF(B104="","",IF(COUNTIF(L104:Q104,"X")=0,"",IF(COUNTIF(L104:Q104,"X")=COUNTA(Model!$B$12:$B$17),"ALL",_xlfn.TEXTJOIN(", ",TRUE(),IF(L104="X",L$4,""),IF(M104="X",M$4,""),IF(N104="X",N$4,""),IF(O104="X",O$4,""),IF(P104="X",P$4,""),IF(Q104="X",Q$4,"")))))</f>
        <v/>
      </c>
      <c r="S104" s="6" t="str">
        <f aca="false">IF(B104="","",IF(B104&gt;B103+1,"Level skips a step",IF(AND(B104&gt;0,OR(H104="",H104&lt;=0)),"Qty missing or 0",IF(AND(J104="Existing",K104=""),"Existing ID missing",IF(AND(B104=Model!$B$8+1,COUNTIF(L104:Q104,"X")=0),"Not in any variant",IF(AND(NOT(B104=Model!$B$8+1),COUNTIF(L104:Q104,"X")&gt;0),"X outside configured item","OK"))))))</f>
        <v/>
      </c>
    </row>
    <row r="105" customFormat="false" ht="15" hidden="false" customHeight="false" outlineLevel="0" collapsed="false">
      <c r="A105" s="17" t="str">
        <f aca="false">IF(B105="","",ROW()-4)</f>
        <v/>
      </c>
      <c r="B105" s="18"/>
      <c r="C105" s="18"/>
      <c r="D105" s="18"/>
      <c r="E105" s="12"/>
      <c r="F105" s="18"/>
      <c r="G105" s="18"/>
      <c r="H105" s="18"/>
      <c r="I105" s="18"/>
      <c r="J105" s="18"/>
      <c r="K105" s="18"/>
      <c r="L105" s="19"/>
      <c r="M105" s="19"/>
      <c r="N105" s="19"/>
      <c r="O105" s="19"/>
      <c r="P105" s="19"/>
      <c r="Q105" s="19"/>
      <c r="R105" s="6" t="str">
        <f aca="false">IF(B105="","",IF(COUNTIF(L105:Q105,"X")=0,"",IF(COUNTIF(L105:Q105,"X")=COUNTA(Model!$B$12:$B$17),"ALL",_xlfn.TEXTJOIN(", ",TRUE(),IF(L105="X",L$4,""),IF(M105="X",M$4,""),IF(N105="X",N$4,""),IF(O105="X",O$4,""),IF(P105="X",P$4,""),IF(Q105="X",Q$4,"")))))</f>
        <v/>
      </c>
      <c r="S105" s="6" t="str">
        <f aca="false">IF(B105="","",IF(B105&gt;B104+1,"Level skips a step",IF(AND(B105&gt;0,OR(H105="",H105&lt;=0)),"Qty missing or 0",IF(AND(J105="Existing",K105=""),"Existing ID missing",IF(AND(B105=Model!$B$8+1,COUNTIF(L105:Q105,"X")=0),"Not in any variant",IF(AND(NOT(B105=Model!$B$8+1),COUNTIF(L105:Q105,"X")&gt;0),"X outside configured item","OK"))))))</f>
        <v/>
      </c>
    </row>
    <row r="106" customFormat="false" ht="15" hidden="false" customHeight="false" outlineLevel="0" collapsed="false">
      <c r="A106" s="17" t="str">
        <f aca="false">IF(B106="","",ROW()-4)</f>
        <v/>
      </c>
      <c r="B106" s="18"/>
      <c r="C106" s="18"/>
      <c r="D106" s="18"/>
      <c r="E106" s="12"/>
      <c r="F106" s="18"/>
      <c r="G106" s="18"/>
      <c r="H106" s="18"/>
      <c r="I106" s="18"/>
      <c r="J106" s="18"/>
      <c r="K106" s="18"/>
      <c r="L106" s="19"/>
      <c r="M106" s="19"/>
      <c r="N106" s="19"/>
      <c r="O106" s="19"/>
      <c r="P106" s="19"/>
      <c r="Q106" s="19"/>
      <c r="R106" s="6" t="str">
        <f aca="false">IF(B106="","",IF(COUNTIF(L106:Q106,"X")=0,"",IF(COUNTIF(L106:Q106,"X")=COUNTA(Model!$B$12:$B$17),"ALL",_xlfn.TEXTJOIN(", ",TRUE(),IF(L106="X",L$4,""),IF(M106="X",M$4,""),IF(N106="X",N$4,""),IF(O106="X",O$4,""),IF(P106="X",P$4,""),IF(Q106="X",Q$4,"")))))</f>
        <v/>
      </c>
      <c r="S106" s="6" t="str">
        <f aca="false">IF(B106="","",IF(B106&gt;B105+1,"Level skips a step",IF(AND(B106&gt;0,OR(H106="",H106&lt;=0)),"Qty missing or 0",IF(AND(J106="Existing",K106=""),"Existing ID missing",IF(AND(B106=Model!$B$8+1,COUNTIF(L106:Q106,"X")=0),"Not in any variant",IF(AND(NOT(B106=Model!$B$8+1),COUNTIF(L106:Q106,"X")&gt;0),"X outside configured item","OK"))))))</f>
        <v/>
      </c>
    </row>
    <row r="107" customFormat="false" ht="15" hidden="false" customHeight="false" outlineLevel="0" collapsed="false">
      <c r="A107" s="17" t="str">
        <f aca="false">IF(B107="","",ROW()-4)</f>
        <v/>
      </c>
      <c r="B107" s="18"/>
      <c r="C107" s="18"/>
      <c r="D107" s="18"/>
      <c r="E107" s="12"/>
      <c r="F107" s="18"/>
      <c r="G107" s="18"/>
      <c r="H107" s="18"/>
      <c r="I107" s="18"/>
      <c r="J107" s="18"/>
      <c r="K107" s="18"/>
      <c r="L107" s="19"/>
      <c r="M107" s="19"/>
      <c r="N107" s="19"/>
      <c r="O107" s="19"/>
      <c r="P107" s="19"/>
      <c r="Q107" s="19"/>
      <c r="R107" s="6" t="str">
        <f aca="false">IF(B107="","",IF(COUNTIF(L107:Q107,"X")=0,"",IF(COUNTIF(L107:Q107,"X")=COUNTA(Model!$B$12:$B$17),"ALL",_xlfn.TEXTJOIN(", ",TRUE(),IF(L107="X",L$4,""),IF(M107="X",M$4,""),IF(N107="X",N$4,""),IF(O107="X",O$4,""),IF(P107="X",P$4,""),IF(Q107="X",Q$4,"")))))</f>
        <v/>
      </c>
      <c r="S107" s="6" t="str">
        <f aca="false">IF(B107="","",IF(B107&gt;B106+1,"Level skips a step",IF(AND(B107&gt;0,OR(H107="",H107&lt;=0)),"Qty missing or 0",IF(AND(J107="Existing",K107=""),"Existing ID missing",IF(AND(B107=Model!$B$8+1,COUNTIF(L107:Q107,"X")=0),"Not in any variant",IF(AND(NOT(B107=Model!$B$8+1),COUNTIF(L107:Q107,"X")&gt;0),"X outside configured item","OK"))))))</f>
        <v/>
      </c>
    </row>
    <row r="108" customFormat="false" ht="15" hidden="false" customHeight="false" outlineLevel="0" collapsed="false">
      <c r="A108" s="17" t="str">
        <f aca="false">IF(B108="","",ROW()-4)</f>
        <v/>
      </c>
      <c r="B108" s="18"/>
      <c r="C108" s="18"/>
      <c r="D108" s="18"/>
      <c r="E108" s="12"/>
      <c r="F108" s="18"/>
      <c r="G108" s="18"/>
      <c r="H108" s="18"/>
      <c r="I108" s="18"/>
      <c r="J108" s="18"/>
      <c r="K108" s="18"/>
      <c r="L108" s="19"/>
      <c r="M108" s="19"/>
      <c r="N108" s="19"/>
      <c r="O108" s="19"/>
      <c r="P108" s="19"/>
      <c r="Q108" s="19"/>
      <c r="R108" s="6" t="str">
        <f aca="false">IF(B108="","",IF(COUNTIF(L108:Q108,"X")=0,"",IF(COUNTIF(L108:Q108,"X")=COUNTA(Model!$B$12:$B$17),"ALL",_xlfn.TEXTJOIN(", ",TRUE(),IF(L108="X",L$4,""),IF(M108="X",M$4,""),IF(N108="X",N$4,""),IF(O108="X",O$4,""),IF(P108="X",P$4,""),IF(Q108="X",Q$4,"")))))</f>
        <v/>
      </c>
      <c r="S108" s="6" t="str">
        <f aca="false">IF(B108="","",IF(B108&gt;B107+1,"Level skips a step",IF(AND(B108&gt;0,OR(H108="",H108&lt;=0)),"Qty missing or 0",IF(AND(J108="Existing",K108=""),"Existing ID missing",IF(AND(B108=Model!$B$8+1,COUNTIF(L108:Q108,"X")=0),"Not in any variant",IF(AND(NOT(B108=Model!$B$8+1),COUNTIF(L108:Q108,"X")&gt;0),"X outside configured item","OK"))))))</f>
        <v/>
      </c>
    </row>
    <row r="109" customFormat="false" ht="15" hidden="false" customHeight="false" outlineLevel="0" collapsed="false">
      <c r="A109" s="17" t="str">
        <f aca="false">IF(B109="","",ROW()-4)</f>
        <v/>
      </c>
      <c r="B109" s="18"/>
      <c r="C109" s="18"/>
      <c r="D109" s="18"/>
      <c r="E109" s="12"/>
      <c r="F109" s="18"/>
      <c r="G109" s="18"/>
      <c r="H109" s="18"/>
      <c r="I109" s="18"/>
      <c r="J109" s="18"/>
      <c r="K109" s="18"/>
      <c r="L109" s="19"/>
      <c r="M109" s="19"/>
      <c r="N109" s="19"/>
      <c r="O109" s="19"/>
      <c r="P109" s="19"/>
      <c r="Q109" s="19"/>
      <c r="R109" s="6" t="str">
        <f aca="false">IF(B109="","",IF(COUNTIF(L109:Q109,"X")=0,"",IF(COUNTIF(L109:Q109,"X")=COUNTA(Model!$B$12:$B$17),"ALL",_xlfn.TEXTJOIN(", ",TRUE(),IF(L109="X",L$4,""),IF(M109="X",M$4,""),IF(N109="X",N$4,""),IF(O109="X",O$4,""),IF(P109="X",P$4,""),IF(Q109="X",Q$4,"")))))</f>
        <v/>
      </c>
      <c r="S109" s="6" t="str">
        <f aca="false">IF(B109="","",IF(B109&gt;B108+1,"Level skips a step",IF(AND(B109&gt;0,OR(H109="",H109&lt;=0)),"Qty missing or 0",IF(AND(J109="Existing",K109=""),"Existing ID missing",IF(AND(B109=Model!$B$8+1,COUNTIF(L109:Q109,"X")=0),"Not in any variant",IF(AND(NOT(B109=Model!$B$8+1),COUNTIF(L109:Q109,"X")&gt;0),"X outside configured item","OK"))))))</f>
        <v/>
      </c>
    </row>
    <row r="110" customFormat="false" ht="15" hidden="false" customHeight="false" outlineLevel="0" collapsed="false">
      <c r="A110" s="17" t="str">
        <f aca="false">IF(B110="","",ROW()-4)</f>
        <v/>
      </c>
      <c r="B110" s="18"/>
      <c r="C110" s="18"/>
      <c r="D110" s="18"/>
      <c r="E110" s="12"/>
      <c r="F110" s="18"/>
      <c r="G110" s="18"/>
      <c r="H110" s="18"/>
      <c r="I110" s="18"/>
      <c r="J110" s="18"/>
      <c r="K110" s="18"/>
      <c r="L110" s="19"/>
      <c r="M110" s="19"/>
      <c r="N110" s="19"/>
      <c r="O110" s="19"/>
      <c r="P110" s="19"/>
      <c r="Q110" s="19"/>
      <c r="R110" s="6" t="str">
        <f aca="false">IF(B110="","",IF(COUNTIF(L110:Q110,"X")=0,"",IF(COUNTIF(L110:Q110,"X")=COUNTA(Model!$B$12:$B$17),"ALL",_xlfn.TEXTJOIN(", ",TRUE(),IF(L110="X",L$4,""),IF(M110="X",M$4,""),IF(N110="X",N$4,""),IF(O110="X",O$4,""),IF(P110="X",P$4,""),IF(Q110="X",Q$4,"")))))</f>
        <v/>
      </c>
      <c r="S110" s="6" t="str">
        <f aca="false">IF(B110="","",IF(B110&gt;B109+1,"Level skips a step",IF(AND(B110&gt;0,OR(H110="",H110&lt;=0)),"Qty missing or 0",IF(AND(J110="Existing",K110=""),"Existing ID missing",IF(AND(B110=Model!$B$8+1,COUNTIF(L110:Q110,"X")=0),"Not in any variant",IF(AND(NOT(B110=Model!$B$8+1),COUNTIF(L110:Q110,"X")&gt;0),"X outside configured item","OK"))))))</f>
        <v/>
      </c>
    </row>
    <row r="111" customFormat="false" ht="15" hidden="false" customHeight="false" outlineLevel="0" collapsed="false">
      <c r="A111" s="17" t="str">
        <f aca="false">IF(B111="","",ROW()-4)</f>
        <v/>
      </c>
      <c r="B111" s="18"/>
      <c r="C111" s="18"/>
      <c r="D111" s="18"/>
      <c r="E111" s="12"/>
      <c r="F111" s="18"/>
      <c r="G111" s="18"/>
      <c r="H111" s="18"/>
      <c r="I111" s="18"/>
      <c r="J111" s="18"/>
      <c r="K111" s="18"/>
      <c r="L111" s="19"/>
      <c r="M111" s="19"/>
      <c r="N111" s="19"/>
      <c r="O111" s="19"/>
      <c r="P111" s="19"/>
      <c r="Q111" s="19"/>
      <c r="R111" s="6" t="str">
        <f aca="false">IF(B111="","",IF(COUNTIF(L111:Q111,"X")=0,"",IF(COUNTIF(L111:Q111,"X")=COUNTA(Model!$B$12:$B$17),"ALL",_xlfn.TEXTJOIN(", ",TRUE(),IF(L111="X",L$4,""),IF(M111="X",M$4,""),IF(N111="X",N$4,""),IF(O111="X",O$4,""),IF(P111="X",P$4,""),IF(Q111="X",Q$4,"")))))</f>
        <v/>
      </c>
      <c r="S111" s="6" t="str">
        <f aca="false">IF(B111="","",IF(B111&gt;B110+1,"Level skips a step",IF(AND(B111&gt;0,OR(H111="",H111&lt;=0)),"Qty missing or 0",IF(AND(J111="Existing",K111=""),"Existing ID missing",IF(AND(B111=Model!$B$8+1,COUNTIF(L111:Q111,"X")=0),"Not in any variant",IF(AND(NOT(B111=Model!$B$8+1),COUNTIF(L111:Q111,"X")&gt;0),"X outside configured item","OK"))))))</f>
        <v/>
      </c>
    </row>
    <row r="112" customFormat="false" ht="15" hidden="false" customHeight="false" outlineLevel="0" collapsed="false">
      <c r="A112" s="17" t="str">
        <f aca="false">IF(B112="","",ROW()-4)</f>
        <v/>
      </c>
      <c r="B112" s="18"/>
      <c r="C112" s="18"/>
      <c r="D112" s="18"/>
      <c r="E112" s="12"/>
      <c r="F112" s="18"/>
      <c r="G112" s="18"/>
      <c r="H112" s="18"/>
      <c r="I112" s="18"/>
      <c r="J112" s="18"/>
      <c r="K112" s="18"/>
      <c r="L112" s="19"/>
      <c r="M112" s="19"/>
      <c r="N112" s="19"/>
      <c r="O112" s="19"/>
      <c r="P112" s="19"/>
      <c r="Q112" s="19"/>
      <c r="R112" s="6" t="str">
        <f aca="false">IF(B112="","",IF(COUNTIF(L112:Q112,"X")=0,"",IF(COUNTIF(L112:Q112,"X")=COUNTA(Model!$B$12:$B$17),"ALL",_xlfn.TEXTJOIN(", ",TRUE(),IF(L112="X",L$4,""),IF(M112="X",M$4,""),IF(N112="X",N$4,""),IF(O112="X",O$4,""),IF(P112="X",P$4,""),IF(Q112="X",Q$4,"")))))</f>
        <v/>
      </c>
      <c r="S112" s="6" t="str">
        <f aca="false">IF(B112="","",IF(B112&gt;B111+1,"Level skips a step",IF(AND(B112&gt;0,OR(H112="",H112&lt;=0)),"Qty missing or 0",IF(AND(J112="Existing",K112=""),"Existing ID missing",IF(AND(B112=Model!$B$8+1,COUNTIF(L112:Q112,"X")=0),"Not in any variant",IF(AND(NOT(B112=Model!$B$8+1),COUNTIF(L112:Q112,"X")&gt;0),"X outside configured item","OK"))))))</f>
        <v/>
      </c>
    </row>
    <row r="113" customFormat="false" ht="15" hidden="false" customHeight="false" outlineLevel="0" collapsed="false">
      <c r="A113" s="17" t="str">
        <f aca="false">IF(B113="","",ROW()-4)</f>
        <v/>
      </c>
      <c r="B113" s="18"/>
      <c r="C113" s="18"/>
      <c r="D113" s="18"/>
      <c r="E113" s="12"/>
      <c r="F113" s="18"/>
      <c r="G113" s="18"/>
      <c r="H113" s="18"/>
      <c r="I113" s="18"/>
      <c r="J113" s="18"/>
      <c r="K113" s="18"/>
      <c r="L113" s="19"/>
      <c r="M113" s="19"/>
      <c r="N113" s="19"/>
      <c r="O113" s="19"/>
      <c r="P113" s="19"/>
      <c r="Q113" s="19"/>
      <c r="R113" s="6" t="str">
        <f aca="false">IF(B113="","",IF(COUNTIF(L113:Q113,"X")=0,"",IF(COUNTIF(L113:Q113,"X")=COUNTA(Model!$B$12:$B$17),"ALL",_xlfn.TEXTJOIN(", ",TRUE(),IF(L113="X",L$4,""),IF(M113="X",M$4,""),IF(N113="X",N$4,""),IF(O113="X",O$4,""),IF(P113="X",P$4,""),IF(Q113="X",Q$4,"")))))</f>
        <v/>
      </c>
      <c r="S113" s="6" t="str">
        <f aca="false">IF(B113="","",IF(B113&gt;B112+1,"Level skips a step",IF(AND(B113&gt;0,OR(H113="",H113&lt;=0)),"Qty missing or 0",IF(AND(J113="Existing",K113=""),"Existing ID missing",IF(AND(B113=Model!$B$8+1,COUNTIF(L113:Q113,"X")=0),"Not in any variant",IF(AND(NOT(B113=Model!$B$8+1),COUNTIF(L113:Q113,"X")&gt;0),"X outside configured item","OK"))))))</f>
        <v/>
      </c>
    </row>
    <row r="114" customFormat="false" ht="15" hidden="false" customHeight="false" outlineLevel="0" collapsed="false">
      <c r="A114" s="17" t="str">
        <f aca="false">IF(B114="","",ROW()-4)</f>
        <v/>
      </c>
      <c r="B114" s="18"/>
      <c r="C114" s="18"/>
      <c r="D114" s="18"/>
      <c r="E114" s="12"/>
      <c r="F114" s="18"/>
      <c r="G114" s="18"/>
      <c r="H114" s="18"/>
      <c r="I114" s="18"/>
      <c r="J114" s="18"/>
      <c r="K114" s="18"/>
      <c r="L114" s="19"/>
      <c r="M114" s="19"/>
      <c r="N114" s="19"/>
      <c r="O114" s="19"/>
      <c r="P114" s="19"/>
      <c r="Q114" s="19"/>
      <c r="R114" s="6" t="str">
        <f aca="false">IF(B114="","",IF(COUNTIF(L114:Q114,"X")=0,"",IF(COUNTIF(L114:Q114,"X")=COUNTA(Model!$B$12:$B$17),"ALL",_xlfn.TEXTJOIN(", ",TRUE(),IF(L114="X",L$4,""),IF(M114="X",M$4,""),IF(N114="X",N$4,""),IF(O114="X",O$4,""),IF(P114="X",P$4,""),IF(Q114="X",Q$4,"")))))</f>
        <v/>
      </c>
      <c r="S114" s="6" t="str">
        <f aca="false">IF(B114="","",IF(B114&gt;B113+1,"Level skips a step",IF(AND(B114&gt;0,OR(H114="",H114&lt;=0)),"Qty missing or 0",IF(AND(J114="Existing",K114=""),"Existing ID missing",IF(AND(B114=Model!$B$8+1,COUNTIF(L114:Q114,"X")=0),"Not in any variant",IF(AND(NOT(B114=Model!$B$8+1),COUNTIF(L114:Q114,"X")&gt;0),"X outside configured item","OK"))))))</f>
        <v/>
      </c>
    </row>
    <row r="115" customFormat="false" ht="15" hidden="false" customHeight="false" outlineLevel="0" collapsed="false">
      <c r="A115" s="17" t="str">
        <f aca="false">IF(B115="","",ROW()-4)</f>
        <v/>
      </c>
      <c r="B115" s="18"/>
      <c r="C115" s="18"/>
      <c r="D115" s="18"/>
      <c r="E115" s="12"/>
      <c r="F115" s="18"/>
      <c r="G115" s="18"/>
      <c r="H115" s="18"/>
      <c r="I115" s="18"/>
      <c r="J115" s="18"/>
      <c r="K115" s="18"/>
      <c r="L115" s="19"/>
      <c r="M115" s="19"/>
      <c r="N115" s="19"/>
      <c r="O115" s="19"/>
      <c r="P115" s="19"/>
      <c r="Q115" s="19"/>
      <c r="R115" s="6" t="str">
        <f aca="false">IF(B115="","",IF(COUNTIF(L115:Q115,"X")=0,"",IF(COUNTIF(L115:Q115,"X")=COUNTA(Model!$B$12:$B$17),"ALL",_xlfn.TEXTJOIN(", ",TRUE(),IF(L115="X",L$4,""),IF(M115="X",M$4,""),IF(N115="X",N$4,""),IF(O115="X",O$4,""),IF(P115="X",P$4,""),IF(Q115="X",Q$4,"")))))</f>
        <v/>
      </c>
      <c r="S115" s="6" t="str">
        <f aca="false">IF(B115="","",IF(B115&gt;B114+1,"Level skips a step",IF(AND(B115&gt;0,OR(H115="",H115&lt;=0)),"Qty missing or 0",IF(AND(J115="Existing",K115=""),"Existing ID missing",IF(AND(B115=Model!$B$8+1,COUNTIF(L115:Q115,"X")=0),"Not in any variant",IF(AND(NOT(B115=Model!$B$8+1),COUNTIF(L115:Q115,"X")&gt;0),"X outside configured item","OK"))))))</f>
        <v/>
      </c>
    </row>
    <row r="116" customFormat="false" ht="15" hidden="false" customHeight="false" outlineLevel="0" collapsed="false">
      <c r="A116" s="17" t="str">
        <f aca="false">IF(B116="","",ROW()-4)</f>
        <v/>
      </c>
      <c r="B116" s="18"/>
      <c r="C116" s="18"/>
      <c r="D116" s="18"/>
      <c r="E116" s="12"/>
      <c r="F116" s="18"/>
      <c r="G116" s="18"/>
      <c r="H116" s="18"/>
      <c r="I116" s="18"/>
      <c r="J116" s="18"/>
      <c r="K116" s="18"/>
      <c r="L116" s="19"/>
      <c r="M116" s="19"/>
      <c r="N116" s="19"/>
      <c r="O116" s="19"/>
      <c r="P116" s="19"/>
      <c r="Q116" s="19"/>
      <c r="R116" s="6" t="str">
        <f aca="false">IF(B116="","",IF(COUNTIF(L116:Q116,"X")=0,"",IF(COUNTIF(L116:Q116,"X")=COUNTA(Model!$B$12:$B$17),"ALL",_xlfn.TEXTJOIN(", ",TRUE(),IF(L116="X",L$4,""),IF(M116="X",M$4,""),IF(N116="X",N$4,""),IF(O116="X",O$4,""),IF(P116="X",P$4,""),IF(Q116="X",Q$4,"")))))</f>
        <v/>
      </c>
      <c r="S116" s="6" t="str">
        <f aca="false">IF(B116="","",IF(B116&gt;B115+1,"Level skips a step",IF(AND(B116&gt;0,OR(H116="",H116&lt;=0)),"Qty missing or 0",IF(AND(J116="Existing",K116=""),"Existing ID missing",IF(AND(B116=Model!$B$8+1,COUNTIF(L116:Q116,"X")=0),"Not in any variant",IF(AND(NOT(B116=Model!$B$8+1),COUNTIF(L116:Q116,"X")&gt;0),"X outside configured item","OK"))))))</f>
        <v/>
      </c>
    </row>
    <row r="117" customFormat="false" ht="15" hidden="false" customHeight="false" outlineLevel="0" collapsed="false">
      <c r="A117" s="17" t="str">
        <f aca="false">IF(B117="","",ROW()-4)</f>
        <v/>
      </c>
      <c r="B117" s="18"/>
      <c r="C117" s="18"/>
      <c r="D117" s="18"/>
      <c r="E117" s="12"/>
      <c r="F117" s="18"/>
      <c r="G117" s="18"/>
      <c r="H117" s="18"/>
      <c r="I117" s="18"/>
      <c r="J117" s="18"/>
      <c r="K117" s="18"/>
      <c r="L117" s="19"/>
      <c r="M117" s="19"/>
      <c r="N117" s="19"/>
      <c r="O117" s="19"/>
      <c r="P117" s="19"/>
      <c r="Q117" s="19"/>
      <c r="R117" s="6" t="str">
        <f aca="false">IF(B117="","",IF(COUNTIF(L117:Q117,"X")=0,"",IF(COUNTIF(L117:Q117,"X")=COUNTA(Model!$B$12:$B$17),"ALL",_xlfn.TEXTJOIN(", ",TRUE(),IF(L117="X",L$4,""),IF(M117="X",M$4,""),IF(N117="X",N$4,""),IF(O117="X",O$4,""),IF(P117="X",P$4,""),IF(Q117="X",Q$4,"")))))</f>
        <v/>
      </c>
      <c r="S117" s="6" t="str">
        <f aca="false">IF(B117="","",IF(B117&gt;B116+1,"Level skips a step",IF(AND(B117&gt;0,OR(H117="",H117&lt;=0)),"Qty missing or 0",IF(AND(J117="Existing",K117=""),"Existing ID missing",IF(AND(B117=Model!$B$8+1,COUNTIF(L117:Q117,"X")=0),"Not in any variant",IF(AND(NOT(B117=Model!$B$8+1),COUNTIF(L117:Q117,"X")&gt;0),"X outside configured item","OK"))))))</f>
        <v/>
      </c>
    </row>
    <row r="118" customFormat="false" ht="15" hidden="false" customHeight="false" outlineLevel="0" collapsed="false">
      <c r="A118" s="17" t="str">
        <f aca="false">IF(B118="","",ROW()-4)</f>
        <v/>
      </c>
      <c r="B118" s="18"/>
      <c r="C118" s="18"/>
      <c r="D118" s="18"/>
      <c r="E118" s="12"/>
      <c r="F118" s="18"/>
      <c r="G118" s="18"/>
      <c r="H118" s="18"/>
      <c r="I118" s="18"/>
      <c r="J118" s="18"/>
      <c r="K118" s="18"/>
      <c r="L118" s="19"/>
      <c r="M118" s="19"/>
      <c r="N118" s="19"/>
      <c r="O118" s="19"/>
      <c r="P118" s="19"/>
      <c r="Q118" s="19"/>
      <c r="R118" s="6" t="str">
        <f aca="false">IF(B118="","",IF(COUNTIF(L118:Q118,"X")=0,"",IF(COUNTIF(L118:Q118,"X")=COUNTA(Model!$B$12:$B$17),"ALL",_xlfn.TEXTJOIN(", ",TRUE(),IF(L118="X",L$4,""),IF(M118="X",M$4,""),IF(N118="X",N$4,""),IF(O118="X",O$4,""),IF(P118="X",P$4,""),IF(Q118="X",Q$4,"")))))</f>
        <v/>
      </c>
      <c r="S118" s="6" t="str">
        <f aca="false">IF(B118="","",IF(B118&gt;B117+1,"Level skips a step",IF(AND(B118&gt;0,OR(H118="",H118&lt;=0)),"Qty missing or 0",IF(AND(J118="Existing",K118=""),"Existing ID missing",IF(AND(B118=Model!$B$8+1,COUNTIF(L118:Q118,"X")=0),"Not in any variant",IF(AND(NOT(B118=Model!$B$8+1),COUNTIF(L118:Q118,"X")&gt;0),"X outside configured item","OK"))))))</f>
        <v/>
      </c>
    </row>
    <row r="119" customFormat="false" ht="15" hidden="false" customHeight="false" outlineLevel="0" collapsed="false">
      <c r="A119" s="17" t="str">
        <f aca="false">IF(B119="","",ROW()-4)</f>
        <v/>
      </c>
      <c r="B119" s="18"/>
      <c r="C119" s="18"/>
      <c r="D119" s="18"/>
      <c r="E119" s="12"/>
      <c r="F119" s="18"/>
      <c r="G119" s="18"/>
      <c r="H119" s="18"/>
      <c r="I119" s="18"/>
      <c r="J119" s="18"/>
      <c r="K119" s="18"/>
      <c r="L119" s="19"/>
      <c r="M119" s="19"/>
      <c r="N119" s="19"/>
      <c r="O119" s="19"/>
      <c r="P119" s="19"/>
      <c r="Q119" s="19"/>
      <c r="R119" s="6" t="str">
        <f aca="false">IF(B119="","",IF(COUNTIF(L119:Q119,"X")=0,"",IF(COUNTIF(L119:Q119,"X")=COUNTA(Model!$B$12:$B$17),"ALL",_xlfn.TEXTJOIN(", ",TRUE(),IF(L119="X",L$4,""),IF(M119="X",M$4,""),IF(N119="X",N$4,""),IF(O119="X",O$4,""),IF(P119="X",P$4,""),IF(Q119="X",Q$4,"")))))</f>
        <v/>
      </c>
      <c r="S119" s="6" t="str">
        <f aca="false">IF(B119="","",IF(B119&gt;B118+1,"Level skips a step",IF(AND(B119&gt;0,OR(H119="",H119&lt;=0)),"Qty missing or 0",IF(AND(J119="Existing",K119=""),"Existing ID missing",IF(AND(B119=Model!$B$8+1,COUNTIF(L119:Q119,"X")=0),"Not in any variant",IF(AND(NOT(B119=Model!$B$8+1),COUNTIF(L119:Q119,"X")&gt;0),"X outside configured item","OK"))))))</f>
        <v/>
      </c>
    </row>
    <row r="120" customFormat="false" ht="15" hidden="false" customHeight="false" outlineLevel="0" collapsed="false">
      <c r="A120" s="17" t="str">
        <f aca="false">IF(B120="","",ROW()-4)</f>
        <v/>
      </c>
      <c r="B120" s="18"/>
      <c r="C120" s="18"/>
      <c r="D120" s="18"/>
      <c r="E120" s="12"/>
      <c r="F120" s="18"/>
      <c r="G120" s="18"/>
      <c r="H120" s="18"/>
      <c r="I120" s="18"/>
      <c r="J120" s="18"/>
      <c r="K120" s="18"/>
      <c r="L120" s="19"/>
      <c r="M120" s="19"/>
      <c r="N120" s="19"/>
      <c r="O120" s="19"/>
      <c r="P120" s="19"/>
      <c r="Q120" s="19"/>
      <c r="R120" s="6" t="str">
        <f aca="false">IF(B120="","",IF(COUNTIF(L120:Q120,"X")=0,"",IF(COUNTIF(L120:Q120,"X")=COUNTA(Model!$B$12:$B$17),"ALL",_xlfn.TEXTJOIN(", ",TRUE(),IF(L120="X",L$4,""),IF(M120="X",M$4,""),IF(N120="X",N$4,""),IF(O120="X",O$4,""),IF(P120="X",P$4,""),IF(Q120="X",Q$4,"")))))</f>
        <v/>
      </c>
      <c r="S120" s="6" t="str">
        <f aca="false">IF(B120="","",IF(B120&gt;B119+1,"Level skips a step",IF(AND(B120&gt;0,OR(H120="",H120&lt;=0)),"Qty missing or 0",IF(AND(J120="Existing",K120=""),"Existing ID missing",IF(AND(B120=Model!$B$8+1,COUNTIF(L120:Q120,"X")=0),"Not in any variant",IF(AND(NOT(B120=Model!$B$8+1),COUNTIF(L120:Q120,"X")&gt;0),"X outside configured item","OK"))))))</f>
        <v/>
      </c>
    </row>
    <row r="121" customFormat="false" ht="15" hidden="false" customHeight="false" outlineLevel="0" collapsed="false">
      <c r="A121" s="17" t="str">
        <f aca="false">IF(B121="","",ROW()-4)</f>
        <v/>
      </c>
      <c r="B121" s="18"/>
      <c r="C121" s="18"/>
      <c r="D121" s="18"/>
      <c r="E121" s="12"/>
      <c r="F121" s="18"/>
      <c r="G121" s="18"/>
      <c r="H121" s="18"/>
      <c r="I121" s="18"/>
      <c r="J121" s="18"/>
      <c r="K121" s="18"/>
      <c r="L121" s="19"/>
      <c r="M121" s="19"/>
      <c r="N121" s="19"/>
      <c r="O121" s="19"/>
      <c r="P121" s="19"/>
      <c r="Q121" s="19"/>
      <c r="R121" s="6" t="str">
        <f aca="false">IF(B121="","",IF(COUNTIF(L121:Q121,"X")=0,"",IF(COUNTIF(L121:Q121,"X")=COUNTA(Model!$B$12:$B$17),"ALL",_xlfn.TEXTJOIN(", ",TRUE(),IF(L121="X",L$4,""),IF(M121="X",M$4,""),IF(N121="X",N$4,""),IF(O121="X",O$4,""),IF(P121="X",P$4,""),IF(Q121="X",Q$4,"")))))</f>
        <v/>
      </c>
      <c r="S121" s="6" t="str">
        <f aca="false">IF(B121="","",IF(B121&gt;B120+1,"Level skips a step",IF(AND(B121&gt;0,OR(H121="",H121&lt;=0)),"Qty missing or 0",IF(AND(J121="Existing",K121=""),"Existing ID missing",IF(AND(B121=Model!$B$8+1,COUNTIF(L121:Q121,"X")=0),"Not in any variant",IF(AND(NOT(B121=Model!$B$8+1),COUNTIF(L121:Q121,"X")&gt;0),"X outside configured item","OK"))))))</f>
        <v/>
      </c>
    </row>
    <row r="122" customFormat="false" ht="15" hidden="false" customHeight="false" outlineLevel="0" collapsed="false">
      <c r="A122" s="17" t="str">
        <f aca="false">IF(B122="","",ROW()-4)</f>
        <v/>
      </c>
      <c r="B122" s="18"/>
      <c r="C122" s="18"/>
      <c r="D122" s="18"/>
      <c r="E122" s="12"/>
      <c r="F122" s="18"/>
      <c r="G122" s="18"/>
      <c r="H122" s="18"/>
      <c r="I122" s="18"/>
      <c r="J122" s="18"/>
      <c r="K122" s="18"/>
      <c r="L122" s="19"/>
      <c r="M122" s="19"/>
      <c r="N122" s="19"/>
      <c r="O122" s="19"/>
      <c r="P122" s="19"/>
      <c r="Q122" s="19"/>
      <c r="R122" s="6" t="str">
        <f aca="false">IF(B122="","",IF(COUNTIF(L122:Q122,"X")=0,"",IF(COUNTIF(L122:Q122,"X")=COUNTA(Model!$B$12:$B$17),"ALL",_xlfn.TEXTJOIN(", ",TRUE(),IF(L122="X",L$4,""),IF(M122="X",M$4,""),IF(N122="X",N$4,""),IF(O122="X",O$4,""),IF(P122="X",P$4,""),IF(Q122="X",Q$4,"")))))</f>
        <v/>
      </c>
      <c r="S122" s="6" t="str">
        <f aca="false">IF(B122="","",IF(B122&gt;B121+1,"Level skips a step",IF(AND(B122&gt;0,OR(H122="",H122&lt;=0)),"Qty missing or 0",IF(AND(J122="Existing",K122=""),"Existing ID missing",IF(AND(B122=Model!$B$8+1,COUNTIF(L122:Q122,"X")=0),"Not in any variant",IF(AND(NOT(B122=Model!$B$8+1),COUNTIF(L122:Q122,"X")&gt;0),"X outside configured item","OK"))))))</f>
        <v/>
      </c>
    </row>
    <row r="123" customFormat="false" ht="15" hidden="false" customHeight="false" outlineLevel="0" collapsed="false">
      <c r="A123" s="17" t="str">
        <f aca="false">IF(B123="","",ROW()-4)</f>
        <v/>
      </c>
      <c r="B123" s="18"/>
      <c r="C123" s="18"/>
      <c r="D123" s="18"/>
      <c r="E123" s="12"/>
      <c r="F123" s="18"/>
      <c r="G123" s="18"/>
      <c r="H123" s="18"/>
      <c r="I123" s="18"/>
      <c r="J123" s="18"/>
      <c r="K123" s="18"/>
      <c r="L123" s="19"/>
      <c r="M123" s="19"/>
      <c r="N123" s="19"/>
      <c r="O123" s="19"/>
      <c r="P123" s="19"/>
      <c r="Q123" s="19"/>
      <c r="R123" s="6" t="str">
        <f aca="false">IF(B123="","",IF(COUNTIF(L123:Q123,"X")=0,"",IF(COUNTIF(L123:Q123,"X")=COUNTA(Model!$B$12:$B$17),"ALL",_xlfn.TEXTJOIN(", ",TRUE(),IF(L123="X",L$4,""),IF(M123="X",M$4,""),IF(N123="X",N$4,""),IF(O123="X",O$4,""),IF(P123="X",P$4,""),IF(Q123="X",Q$4,"")))))</f>
        <v/>
      </c>
      <c r="S123" s="6" t="str">
        <f aca="false">IF(B123="","",IF(B123&gt;B122+1,"Level skips a step",IF(AND(B123&gt;0,OR(H123="",H123&lt;=0)),"Qty missing or 0",IF(AND(J123="Existing",K123=""),"Existing ID missing",IF(AND(B123=Model!$B$8+1,COUNTIF(L123:Q123,"X")=0),"Not in any variant",IF(AND(NOT(B123=Model!$B$8+1),COUNTIF(L123:Q123,"X")&gt;0),"X outside configured item","OK"))))))</f>
        <v/>
      </c>
    </row>
    <row r="124" customFormat="false" ht="15" hidden="false" customHeight="false" outlineLevel="0" collapsed="false">
      <c r="A124" s="17" t="str">
        <f aca="false">IF(B124="","",ROW()-4)</f>
        <v/>
      </c>
      <c r="B124" s="18"/>
      <c r="C124" s="18"/>
      <c r="D124" s="18"/>
      <c r="E124" s="12"/>
      <c r="F124" s="18"/>
      <c r="G124" s="18"/>
      <c r="H124" s="18"/>
      <c r="I124" s="18"/>
      <c r="J124" s="18"/>
      <c r="K124" s="18"/>
      <c r="L124" s="19"/>
      <c r="M124" s="19"/>
      <c r="N124" s="19"/>
      <c r="O124" s="19"/>
      <c r="P124" s="19"/>
      <c r="Q124" s="19"/>
      <c r="R124" s="6" t="str">
        <f aca="false">IF(B124="","",IF(COUNTIF(L124:Q124,"X")=0,"",IF(COUNTIF(L124:Q124,"X")=COUNTA(Model!$B$12:$B$17),"ALL",_xlfn.TEXTJOIN(", ",TRUE(),IF(L124="X",L$4,""),IF(M124="X",M$4,""),IF(N124="X",N$4,""),IF(O124="X",O$4,""),IF(P124="X",P$4,""),IF(Q124="X",Q$4,"")))))</f>
        <v/>
      </c>
      <c r="S124" s="6" t="str">
        <f aca="false">IF(B124="","",IF(B124&gt;B123+1,"Level skips a step",IF(AND(B124&gt;0,OR(H124="",H124&lt;=0)),"Qty missing or 0",IF(AND(J124="Existing",K124=""),"Existing ID missing",IF(AND(B124=Model!$B$8+1,COUNTIF(L124:Q124,"X")=0),"Not in any variant",IF(AND(NOT(B124=Model!$B$8+1),COUNTIF(L124:Q124,"X")&gt;0),"X outside configured item","OK"))))))</f>
        <v/>
      </c>
    </row>
    <row r="125" customFormat="false" ht="15" hidden="false" customHeight="false" outlineLevel="0" collapsed="false">
      <c r="A125" s="17" t="str">
        <f aca="false">IF(B125="","",ROW()-4)</f>
        <v/>
      </c>
      <c r="B125" s="18"/>
      <c r="C125" s="18"/>
      <c r="D125" s="18"/>
      <c r="E125" s="12"/>
      <c r="F125" s="18"/>
      <c r="G125" s="18"/>
      <c r="H125" s="18"/>
      <c r="I125" s="18"/>
      <c r="J125" s="18"/>
      <c r="K125" s="18"/>
      <c r="L125" s="19"/>
      <c r="M125" s="19"/>
      <c r="N125" s="19"/>
      <c r="O125" s="19"/>
      <c r="P125" s="19"/>
      <c r="Q125" s="19"/>
      <c r="R125" s="6" t="str">
        <f aca="false">IF(B125="","",IF(COUNTIF(L125:Q125,"X")=0,"",IF(COUNTIF(L125:Q125,"X")=COUNTA(Model!$B$12:$B$17),"ALL",_xlfn.TEXTJOIN(", ",TRUE(),IF(L125="X",L$4,""),IF(M125="X",M$4,""),IF(N125="X",N$4,""),IF(O125="X",O$4,""),IF(P125="X",P$4,""),IF(Q125="X",Q$4,"")))))</f>
        <v/>
      </c>
      <c r="S125" s="6" t="str">
        <f aca="false">IF(B125="","",IF(B125&gt;B124+1,"Level skips a step",IF(AND(B125&gt;0,OR(H125="",H125&lt;=0)),"Qty missing or 0",IF(AND(J125="Existing",K125=""),"Existing ID missing",IF(AND(B125=Model!$B$8+1,COUNTIF(L125:Q125,"X")=0),"Not in any variant",IF(AND(NOT(B125=Model!$B$8+1),COUNTIF(L125:Q125,"X")&gt;0),"X outside configured item","OK"))))))</f>
        <v/>
      </c>
    </row>
    <row r="126" customFormat="false" ht="15" hidden="false" customHeight="false" outlineLevel="0" collapsed="false">
      <c r="A126" s="17" t="str">
        <f aca="false">IF(B126="","",ROW()-4)</f>
        <v/>
      </c>
      <c r="B126" s="18"/>
      <c r="C126" s="18"/>
      <c r="D126" s="18"/>
      <c r="E126" s="12"/>
      <c r="F126" s="18"/>
      <c r="G126" s="18"/>
      <c r="H126" s="18"/>
      <c r="I126" s="18"/>
      <c r="J126" s="18"/>
      <c r="K126" s="18"/>
      <c r="L126" s="19"/>
      <c r="M126" s="19"/>
      <c r="N126" s="19"/>
      <c r="O126" s="19"/>
      <c r="P126" s="19"/>
      <c r="Q126" s="19"/>
      <c r="R126" s="6" t="str">
        <f aca="false">IF(B126="","",IF(COUNTIF(L126:Q126,"X")=0,"",IF(COUNTIF(L126:Q126,"X")=COUNTA(Model!$B$12:$B$17),"ALL",_xlfn.TEXTJOIN(", ",TRUE(),IF(L126="X",L$4,""),IF(M126="X",M$4,""),IF(N126="X",N$4,""),IF(O126="X",O$4,""),IF(P126="X",P$4,""),IF(Q126="X",Q$4,"")))))</f>
        <v/>
      </c>
      <c r="S126" s="6" t="str">
        <f aca="false">IF(B126="","",IF(B126&gt;B125+1,"Level skips a step",IF(AND(B126&gt;0,OR(H126="",H126&lt;=0)),"Qty missing or 0",IF(AND(J126="Existing",K126=""),"Existing ID missing",IF(AND(B126=Model!$B$8+1,COUNTIF(L126:Q126,"X")=0),"Not in any variant",IF(AND(NOT(B126=Model!$B$8+1),COUNTIF(L126:Q126,"X")&gt;0),"X outside configured item","OK"))))))</f>
        <v/>
      </c>
    </row>
    <row r="127" customFormat="false" ht="15" hidden="false" customHeight="false" outlineLevel="0" collapsed="false">
      <c r="A127" s="17" t="str">
        <f aca="false">IF(B127="","",ROW()-4)</f>
        <v/>
      </c>
      <c r="B127" s="18"/>
      <c r="C127" s="18"/>
      <c r="D127" s="18"/>
      <c r="E127" s="12"/>
      <c r="F127" s="18"/>
      <c r="G127" s="18"/>
      <c r="H127" s="18"/>
      <c r="I127" s="18"/>
      <c r="J127" s="18"/>
      <c r="K127" s="18"/>
      <c r="L127" s="19"/>
      <c r="M127" s="19"/>
      <c r="N127" s="19"/>
      <c r="O127" s="19"/>
      <c r="P127" s="19"/>
      <c r="Q127" s="19"/>
      <c r="R127" s="6" t="str">
        <f aca="false">IF(B127="","",IF(COUNTIF(L127:Q127,"X")=0,"",IF(COUNTIF(L127:Q127,"X")=COUNTA(Model!$B$12:$B$17),"ALL",_xlfn.TEXTJOIN(", ",TRUE(),IF(L127="X",L$4,""),IF(M127="X",M$4,""),IF(N127="X",N$4,""),IF(O127="X",O$4,""),IF(P127="X",P$4,""),IF(Q127="X",Q$4,"")))))</f>
        <v/>
      </c>
      <c r="S127" s="6" t="str">
        <f aca="false">IF(B127="","",IF(B127&gt;B126+1,"Level skips a step",IF(AND(B127&gt;0,OR(H127="",H127&lt;=0)),"Qty missing or 0",IF(AND(J127="Existing",K127=""),"Existing ID missing",IF(AND(B127=Model!$B$8+1,COUNTIF(L127:Q127,"X")=0),"Not in any variant",IF(AND(NOT(B127=Model!$B$8+1),COUNTIF(L127:Q127,"X")&gt;0),"X outside configured item","OK"))))))</f>
        <v/>
      </c>
    </row>
    <row r="128" customFormat="false" ht="15" hidden="false" customHeight="false" outlineLevel="0" collapsed="false">
      <c r="A128" s="17" t="str">
        <f aca="false">IF(B128="","",ROW()-4)</f>
        <v/>
      </c>
      <c r="B128" s="18"/>
      <c r="C128" s="18"/>
      <c r="D128" s="18"/>
      <c r="E128" s="12"/>
      <c r="F128" s="18"/>
      <c r="G128" s="18"/>
      <c r="H128" s="18"/>
      <c r="I128" s="18"/>
      <c r="J128" s="18"/>
      <c r="K128" s="18"/>
      <c r="L128" s="19"/>
      <c r="M128" s="19"/>
      <c r="N128" s="19"/>
      <c r="O128" s="19"/>
      <c r="P128" s="19"/>
      <c r="Q128" s="19"/>
      <c r="R128" s="6" t="str">
        <f aca="false">IF(B128="","",IF(COUNTIF(L128:Q128,"X")=0,"",IF(COUNTIF(L128:Q128,"X")=COUNTA(Model!$B$12:$B$17),"ALL",_xlfn.TEXTJOIN(", ",TRUE(),IF(L128="X",L$4,""),IF(M128="X",M$4,""),IF(N128="X",N$4,""),IF(O128="X",O$4,""),IF(P128="X",P$4,""),IF(Q128="X",Q$4,"")))))</f>
        <v/>
      </c>
      <c r="S128" s="6" t="str">
        <f aca="false">IF(B128="","",IF(B128&gt;B127+1,"Level skips a step",IF(AND(B128&gt;0,OR(H128="",H128&lt;=0)),"Qty missing or 0",IF(AND(J128="Existing",K128=""),"Existing ID missing",IF(AND(B128=Model!$B$8+1,COUNTIF(L128:Q128,"X")=0),"Not in any variant",IF(AND(NOT(B128=Model!$B$8+1),COUNTIF(L128:Q128,"X")&gt;0),"X outside configured item","OK"))))))</f>
        <v/>
      </c>
    </row>
    <row r="129" customFormat="false" ht="15" hidden="false" customHeight="false" outlineLevel="0" collapsed="false">
      <c r="A129" s="17" t="str">
        <f aca="false">IF(B129="","",ROW()-4)</f>
        <v/>
      </c>
      <c r="B129" s="18"/>
      <c r="C129" s="18"/>
      <c r="D129" s="18"/>
      <c r="E129" s="12"/>
      <c r="F129" s="18"/>
      <c r="G129" s="18"/>
      <c r="H129" s="18"/>
      <c r="I129" s="18"/>
      <c r="J129" s="18"/>
      <c r="K129" s="18"/>
      <c r="L129" s="19"/>
      <c r="M129" s="19"/>
      <c r="N129" s="19"/>
      <c r="O129" s="19"/>
      <c r="P129" s="19"/>
      <c r="Q129" s="19"/>
      <c r="R129" s="6" t="str">
        <f aca="false">IF(B129="","",IF(COUNTIF(L129:Q129,"X")=0,"",IF(COUNTIF(L129:Q129,"X")=COUNTA(Model!$B$12:$B$17),"ALL",_xlfn.TEXTJOIN(", ",TRUE(),IF(L129="X",L$4,""),IF(M129="X",M$4,""),IF(N129="X",N$4,""),IF(O129="X",O$4,""),IF(P129="X",P$4,""),IF(Q129="X",Q$4,"")))))</f>
        <v/>
      </c>
      <c r="S129" s="6" t="str">
        <f aca="false">IF(B129="","",IF(B129&gt;B128+1,"Level skips a step",IF(AND(B129&gt;0,OR(H129="",H129&lt;=0)),"Qty missing or 0",IF(AND(J129="Existing",K129=""),"Existing ID missing",IF(AND(B129=Model!$B$8+1,COUNTIF(L129:Q129,"X")=0),"Not in any variant",IF(AND(NOT(B129=Model!$B$8+1),COUNTIF(L129:Q129,"X")&gt;0),"X outside configured item","OK"))))))</f>
        <v/>
      </c>
    </row>
    <row r="130" customFormat="false" ht="15" hidden="false" customHeight="false" outlineLevel="0" collapsed="false">
      <c r="A130" s="17" t="str">
        <f aca="false">IF(B130="","",ROW()-4)</f>
        <v/>
      </c>
      <c r="B130" s="18"/>
      <c r="C130" s="18"/>
      <c r="D130" s="18"/>
      <c r="E130" s="12"/>
      <c r="F130" s="18"/>
      <c r="G130" s="18"/>
      <c r="H130" s="18"/>
      <c r="I130" s="18"/>
      <c r="J130" s="18"/>
      <c r="K130" s="18"/>
      <c r="L130" s="19"/>
      <c r="M130" s="19"/>
      <c r="N130" s="19"/>
      <c r="O130" s="19"/>
      <c r="P130" s="19"/>
      <c r="Q130" s="19"/>
      <c r="R130" s="6" t="str">
        <f aca="false">IF(B130="","",IF(COUNTIF(L130:Q130,"X")=0,"",IF(COUNTIF(L130:Q130,"X")=COUNTA(Model!$B$12:$B$17),"ALL",_xlfn.TEXTJOIN(", ",TRUE(),IF(L130="X",L$4,""),IF(M130="X",M$4,""),IF(N130="X",N$4,""),IF(O130="X",O$4,""),IF(P130="X",P$4,""),IF(Q130="X",Q$4,"")))))</f>
        <v/>
      </c>
      <c r="S130" s="6" t="str">
        <f aca="false">IF(B130="","",IF(B130&gt;B129+1,"Level skips a step",IF(AND(B130&gt;0,OR(H130="",H130&lt;=0)),"Qty missing or 0",IF(AND(J130="Existing",K130=""),"Existing ID missing",IF(AND(B130=Model!$B$8+1,COUNTIF(L130:Q130,"X")=0),"Not in any variant",IF(AND(NOT(B130=Model!$B$8+1),COUNTIF(L130:Q130,"X")&gt;0),"X outside configured item","OK"))))))</f>
        <v/>
      </c>
    </row>
    <row r="131" customFormat="false" ht="15" hidden="false" customHeight="false" outlineLevel="0" collapsed="false">
      <c r="A131" s="17" t="str">
        <f aca="false">IF(B131="","",ROW()-4)</f>
        <v/>
      </c>
      <c r="B131" s="18"/>
      <c r="C131" s="18"/>
      <c r="D131" s="18"/>
      <c r="E131" s="12"/>
      <c r="F131" s="18"/>
      <c r="G131" s="18"/>
      <c r="H131" s="18"/>
      <c r="I131" s="18"/>
      <c r="J131" s="18"/>
      <c r="K131" s="18"/>
      <c r="L131" s="19"/>
      <c r="M131" s="19"/>
      <c r="N131" s="19"/>
      <c r="O131" s="19"/>
      <c r="P131" s="19"/>
      <c r="Q131" s="19"/>
      <c r="R131" s="6" t="str">
        <f aca="false">IF(B131="","",IF(COUNTIF(L131:Q131,"X")=0,"",IF(COUNTIF(L131:Q131,"X")=COUNTA(Model!$B$12:$B$17),"ALL",_xlfn.TEXTJOIN(", ",TRUE(),IF(L131="X",L$4,""),IF(M131="X",M$4,""),IF(N131="X",N$4,""),IF(O131="X",O$4,""),IF(P131="X",P$4,""),IF(Q131="X",Q$4,"")))))</f>
        <v/>
      </c>
      <c r="S131" s="6" t="str">
        <f aca="false">IF(B131="","",IF(B131&gt;B130+1,"Level skips a step",IF(AND(B131&gt;0,OR(H131="",H131&lt;=0)),"Qty missing or 0",IF(AND(J131="Existing",K131=""),"Existing ID missing",IF(AND(B131=Model!$B$8+1,COUNTIF(L131:Q131,"X")=0),"Not in any variant",IF(AND(NOT(B131=Model!$B$8+1),COUNTIF(L131:Q131,"X")&gt;0),"X outside configured item","OK"))))))</f>
        <v/>
      </c>
    </row>
    <row r="132" customFormat="false" ht="15" hidden="false" customHeight="false" outlineLevel="0" collapsed="false">
      <c r="A132" s="17" t="str">
        <f aca="false">IF(B132="","",ROW()-4)</f>
        <v/>
      </c>
      <c r="B132" s="18"/>
      <c r="C132" s="18"/>
      <c r="D132" s="18"/>
      <c r="E132" s="12"/>
      <c r="F132" s="18"/>
      <c r="G132" s="18"/>
      <c r="H132" s="18"/>
      <c r="I132" s="18"/>
      <c r="J132" s="18"/>
      <c r="K132" s="18"/>
      <c r="L132" s="19"/>
      <c r="M132" s="19"/>
      <c r="N132" s="19"/>
      <c r="O132" s="19"/>
      <c r="P132" s="19"/>
      <c r="Q132" s="19"/>
      <c r="R132" s="6" t="str">
        <f aca="false">IF(B132="","",IF(COUNTIF(L132:Q132,"X")=0,"",IF(COUNTIF(L132:Q132,"X")=COUNTA(Model!$B$12:$B$17),"ALL",_xlfn.TEXTJOIN(", ",TRUE(),IF(L132="X",L$4,""),IF(M132="X",M$4,""),IF(N132="X",N$4,""),IF(O132="X",O$4,""),IF(P132="X",P$4,""),IF(Q132="X",Q$4,"")))))</f>
        <v/>
      </c>
      <c r="S132" s="6" t="str">
        <f aca="false">IF(B132="","",IF(B132&gt;B131+1,"Level skips a step",IF(AND(B132&gt;0,OR(H132="",H132&lt;=0)),"Qty missing or 0",IF(AND(J132="Existing",K132=""),"Existing ID missing",IF(AND(B132=Model!$B$8+1,COUNTIF(L132:Q132,"X")=0),"Not in any variant",IF(AND(NOT(B132=Model!$B$8+1),COUNTIF(L132:Q132,"X")&gt;0),"X outside configured item","OK"))))))</f>
        <v/>
      </c>
    </row>
    <row r="133" customFormat="false" ht="15" hidden="false" customHeight="false" outlineLevel="0" collapsed="false">
      <c r="A133" s="17" t="str">
        <f aca="false">IF(B133="","",ROW()-4)</f>
        <v/>
      </c>
      <c r="B133" s="18"/>
      <c r="C133" s="18"/>
      <c r="D133" s="18"/>
      <c r="E133" s="12"/>
      <c r="F133" s="18"/>
      <c r="G133" s="18"/>
      <c r="H133" s="18"/>
      <c r="I133" s="18"/>
      <c r="J133" s="18"/>
      <c r="K133" s="18"/>
      <c r="L133" s="19"/>
      <c r="M133" s="19"/>
      <c r="N133" s="19"/>
      <c r="O133" s="19"/>
      <c r="P133" s="19"/>
      <c r="Q133" s="19"/>
      <c r="R133" s="6" t="str">
        <f aca="false">IF(B133="","",IF(COUNTIF(L133:Q133,"X")=0,"",IF(COUNTIF(L133:Q133,"X")=COUNTA(Model!$B$12:$B$17),"ALL",_xlfn.TEXTJOIN(", ",TRUE(),IF(L133="X",L$4,""),IF(M133="X",M$4,""),IF(N133="X",N$4,""),IF(O133="X",O$4,""),IF(P133="X",P$4,""),IF(Q133="X",Q$4,"")))))</f>
        <v/>
      </c>
      <c r="S133" s="6" t="str">
        <f aca="false">IF(B133="","",IF(B133&gt;B132+1,"Level skips a step",IF(AND(B133&gt;0,OR(H133="",H133&lt;=0)),"Qty missing or 0",IF(AND(J133="Existing",K133=""),"Existing ID missing",IF(AND(B133=Model!$B$8+1,COUNTIF(L133:Q133,"X")=0),"Not in any variant",IF(AND(NOT(B133=Model!$B$8+1),COUNTIF(L133:Q133,"X")&gt;0),"X outside configured item","OK"))))))</f>
        <v/>
      </c>
    </row>
    <row r="134" customFormat="false" ht="15" hidden="false" customHeight="false" outlineLevel="0" collapsed="false">
      <c r="A134" s="17" t="str">
        <f aca="false">IF(B134="","",ROW()-4)</f>
        <v/>
      </c>
      <c r="B134" s="18"/>
      <c r="C134" s="18"/>
      <c r="D134" s="18"/>
      <c r="E134" s="12"/>
      <c r="F134" s="18"/>
      <c r="G134" s="18"/>
      <c r="H134" s="18"/>
      <c r="I134" s="18"/>
      <c r="J134" s="18"/>
      <c r="K134" s="18"/>
      <c r="L134" s="19"/>
      <c r="M134" s="19"/>
      <c r="N134" s="19"/>
      <c r="O134" s="19"/>
      <c r="P134" s="19"/>
      <c r="Q134" s="19"/>
      <c r="R134" s="6" t="str">
        <f aca="false">IF(B134="","",IF(COUNTIF(L134:Q134,"X")=0,"",IF(COUNTIF(L134:Q134,"X")=COUNTA(Model!$B$12:$B$17),"ALL",_xlfn.TEXTJOIN(", ",TRUE(),IF(L134="X",L$4,""),IF(M134="X",M$4,""),IF(N134="X",N$4,""),IF(O134="X",O$4,""),IF(P134="X",P$4,""),IF(Q134="X",Q$4,"")))))</f>
        <v/>
      </c>
      <c r="S134" s="6" t="str">
        <f aca="false">IF(B134="","",IF(B134&gt;B133+1,"Level skips a step",IF(AND(B134&gt;0,OR(H134="",H134&lt;=0)),"Qty missing or 0",IF(AND(J134="Existing",K134=""),"Existing ID missing",IF(AND(B134=Model!$B$8+1,COUNTIF(L134:Q134,"X")=0),"Not in any variant",IF(AND(NOT(B134=Model!$B$8+1),COUNTIF(L134:Q134,"X")&gt;0),"X outside configured item","OK"))))))</f>
        <v/>
      </c>
    </row>
    <row r="135" customFormat="false" ht="15" hidden="false" customHeight="false" outlineLevel="0" collapsed="false">
      <c r="A135" s="17" t="str">
        <f aca="false">IF(B135="","",ROW()-4)</f>
        <v/>
      </c>
      <c r="B135" s="18"/>
      <c r="C135" s="18"/>
      <c r="D135" s="18"/>
      <c r="E135" s="12"/>
      <c r="F135" s="18"/>
      <c r="G135" s="18"/>
      <c r="H135" s="18"/>
      <c r="I135" s="18"/>
      <c r="J135" s="18"/>
      <c r="K135" s="18"/>
      <c r="L135" s="19"/>
      <c r="M135" s="19"/>
      <c r="N135" s="19"/>
      <c r="O135" s="19"/>
      <c r="P135" s="19"/>
      <c r="Q135" s="19"/>
      <c r="R135" s="6" t="str">
        <f aca="false">IF(B135="","",IF(COUNTIF(L135:Q135,"X")=0,"",IF(COUNTIF(L135:Q135,"X")=COUNTA(Model!$B$12:$B$17),"ALL",_xlfn.TEXTJOIN(", ",TRUE(),IF(L135="X",L$4,""),IF(M135="X",M$4,""),IF(N135="X",N$4,""),IF(O135="X",O$4,""),IF(P135="X",P$4,""),IF(Q135="X",Q$4,"")))))</f>
        <v/>
      </c>
      <c r="S135" s="6" t="str">
        <f aca="false">IF(B135="","",IF(B135&gt;B134+1,"Level skips a step",IF(AND(B135&gt;0,OR(H135="",H135&lt;=0)),"Qty missing or 0",IF(AND(J135="Existing",K135=""),"Existing ID missing",IF(AND(B135=Model!$B$8+1,COUNTIF(L135:Q135,"X")=0),"Not in any variant",IF(AND(NOT(B135=Model!$B$8+1),COUNTIF(L135:Q135,"X")&gt;0),"X outside configured item","OK"))))))</f>
        <v/>
      </c>
    </row>
    <row r="136" customFormat="false" ht="15" hidden="false" customHeight="false" outlineLevel="0" collapsed="false">
      <c r="A136" s="17" t="str">
        <f aca="false">IF(B136="","",ROW()-4)</f>
        <v/>
      </c>
      <c r="B136" s="18"/>
      <c r="C136" s="18"/>
      <c r="D136" s="18"/>
      <c r="E136" s="12"/>
      <c r="F136" s="18"/>
      <c r="G136" s="18"/>
      <c r="H136" s="18"/>
      <c r="I136" s="18"/>
      <c r="J136" s="18"/>
      <c r="K136" s="18"/>
      <c r="L136" s="19"/>
      <c r="M136" s="19"/>
      <c r="N136" s="19"/>
      <c r="O136" s="19"/>
      <c r="P136" s="19"/>
      <c r="Q136" s="19"/>
      <c r="R136" s="6" t="str">
        <f aca="false">IF(B136="","",IF(COUNTIF(L136:Q136,"X")=0,"",IF(COUNTIF(L136:Q136,"X")=COUNTA(Model!$B$12:$B$17),"ALL",_xlfn.TEXTJOIN(", ",TRUE(),IF(L136="X",L$4,""),IF(M136="X",M$4,""),IF(N136="X",N$4,""),IF(O136="X",O$4,""),IF(P136="X",P$4,""),IF(Q136="X",Q$4,"")))))</f>
        <v/>
      </c>
      <c r="S136" s="6" t="str">
        <f aca="false">IF(B136="","",IF(B136&gt;B135+1,"Level skips a step",IF(AND(B136&gt;0,OR(H136="",H136&lt;=0)),"Qty missing or 0",IF(AND(J136="Existing",K136=""),"Existing ID missing",IF(AND(B136=Model!$B$8+1,COUNTIF(L136:Q136,"X")=0),"Not in any variant",IF(AND(NOT(B136=Model!$B$8+1),COUNTIF(L136:Q136,"X")&gt;0),"X outside configured item","OK"))))))</f>
        <v/>
      </c>
    </row>
    <row r="137" customFormat="false" ht="15" hidden="false" customHeight="false" outlineLevel="0" collapsed="false">
      <c r="A137" s="17" t="str">
        <f aca="false">IF(B137="","",ROW()-4)</f>
        <v/>
      </c>
      <c r="B137" s="18"/>
      <c r="C137" s="18"/>
      <c r="D137" s="18"/>
      <c r="E137" s="12"/>
      <c r="F137" s="18"/>
      <c r="G137" s="18"/>
      <c r="H137" s="18"/>
      <c r="I137" s="18"/>
      <c r="J137" s="18"/>
      <c r="K137" s="18"/>
      <c r="L137" s="19"/>
      <c r="M137" s="19"/>
      <c r="N137" s="19"/>
      <c r="O137" s="19"/>
      <c r="P137" s="19"/>
      <c r="Q137" s="19"/>
      <c r="R137" s="6" t="str">
        <f aca="false">IF(B137="","",IF(COUNTIF(L137:Q137,"X")=0,"",IF(COUNTIF(L137:Q137,"X")=COUNTA(Model!$B$12:$B$17),"ALL",_xlfn.TEXTJOIN(", ",TRUE(),IF(L137="X",L$4,""),IF(M137="X",M$4,""),IF(N137="X",N$4,""),IF(O137="X",O$4,""),IF(P137="X",P$4,""),IF(Q137="X",Q$4,"")))))</f>
        <v/>
      </c>
      <c r="S137" s="6" t="str">
        <f aca="false">IF(B137="","",IF(B137&gt;B136+1,"Level skips a step",IF(AND(B137&gt;0,OR(H137="",H137&lt;=0)),"Qty missing or 0",IF(AND(J137="Existing",K137=""),"Existing ID missing",IF(AND(B137=Model!$B$8+1,COUNTIF(L137:Q137,"X")=0),"Not in any variant",IF(AND(NOT(B137=Model!$B$8+1),COUNTIF(L137:Q137,"X")&gt;0),"X outside configured item","OK"))))))</f>
        <v/>
      </c>
    </row>
    <row r="138" customFormat="false" ht="15" hidden="false" customHeight="false" outlineLevel="0" collapsed="false">
      <c r="A138" s="17" t="str">
        <f aca="false">IF(B138="","",ROW()-4)</f>
        <v/>
      </c>
      <c r="B138" s="18"/>
      <c r="C138" s="18"/>
      <c r="D138" s="18"/>
      <c r="E138" s="12"/>
      <c r="F138" s="18"/>
      <c r="G138" s="18"/>
      <c r="H138" s="18"/>
      <c r="I138" s="18"/>
      <c r="J138" s="18"/>
      <c r="K138" s="18"/>
      <c r="L138" s="19"/>
      <c r="M138" s="19"/>
      <c r="N138" s="19"/>
      <c r="O138" s="19"/>
      <c r="P138" s="19"/>
      <c r="Q138" s="19"/>
      <c r="R138" s="6" t="str">
        <f aca="false">IF(B138="","",IF(COUNTIF(L138:Q138,"X")=0,"",IF(COUNTIF(L138:Q138,"X")=COUNTA(Model!$B$12:$B$17),"ALL",_xlfn.TEXTJOIN(", ",TRUE(),IF(L138="X",L$4,""),IF(M138="X",M$4,""),IF(N138="X",N$4,""),IF(O138="X",O$4,""),IF(P138="X",P$4,""),IF(Q138="X",Q$4,"")))))</f>
        <v/>
      </c>
      <c r="S138" s="6" t="str">
        <f aca="false">IF(B138="","",IF(B138&gt;B137+1,"Level skips a step",IF(AND(B138&gt;0,OR(H138="",H138&lt;=0)),"Qty missing or 0",IF(AND(J138="Existing",K138=""),"Existing ID missing",IF(AND(B138=Model!$B$8+1,COUNTIF(L138:Q138,"X")=0),"Not in any variant",IF(AND(NOT(B138=Model!$B$8+1),COUNTIF(L138:Q138,"X")&gt;0),"X outside configured item","OK"))))))</f>
        <v/>
      </c>
    </row>
    <row r="139" customFormat="false" ht="15" hidden="false" customHeight="false" outlineLevel="0" collapsed="false">
      <c r="A139" s="17" t="str">
        <f aca="false">IF(B139="","",ROW()-4)</f>
        <v/>
      </c>
      <c r="B139" s="18"/>
      <c r="C139" s="18"/>
      <c r="D139" s="18"/>
      <c r="E139" s="12"/>
      <c r="F139" s="18"/>
      <c r="G139" s="18"/>
      <c r="H139" s="18"/>
      <c r="I139" s="18"/>
      <c r="J139" s="18"/>
      <c r="K139" s="18"/>
      <c r="L139" s="19"/>
      <c r="M139" s="19"/>
      <c r="N139" s="19"/>
      <c r="O139" s="19"/>
      <c r="P139" s="19"/>
      <c r="Q139" s="19"/>
      <c r="R139" s="6" t="str">
        <f aca="false">IF(B139="","",IF(COUNTIF(L139:Q139,"X")=0,"",IF(COUNTIF(L139:Q139,"X")=COUNTA(Model!$B$12:$B$17),"ALL",_xlfn.TEXTJOIN(", ",TRUE(),IF(L139="X",L$4,""),IF(M139="X",M$4,""),IF(N139="X",N$4,""),IF(O139="X",O$4,""),IF(P139="X",P$4,""),IF(Q139="X",Q$4,"")))))</f>
        <v/>
      </c>
      <c r="S139" s="6" t="str">
        <f aca="false">IF(B139="","",IF(B139&gt;B138+1,"Level skips a step",IF(AND(B139&gt;0,OR(H139="",H139&lt;=0)),"Qty missing or 0",IF(AND(J139="Existing",K139=""),"Existing ID missing",IF(AND(B139=Model!$B$8+1,COUNTIF(L139:Q139,"X")=0),"Not in any variant",IF(AND(NOT(B139=Model!$B$8+1),COUNTIF(L139:Q139,"X")&gt;0),"X outside configured item","OK"))))))</f>
        <v/>
      </c>
    </row>
    <row r="140" customFormat="false" ht="15" hidden="false" customHeight="false" outlineLevel="0" collapsed="false">
      <c r="A140" s="17" t="str">
        <f aca="false">IF(B140="","",ROW()-4)</f>
        <v/>
      </c>
      <c r="B140" s="18"/>
      <c r="C140" s="18"/>
      <c r="D140" s="18"/>
      <c r="E140" s="12"/>
      <c r="F140" s="18"/>
      <c r="G140" s="18"/>
      <c r="H140" s="18"/>
      <c r="I140" s="18"/>
      <c r="J140" s="18"/>
      <c r="K140" s="18"/>
      <c r="L140" s="19"/>
      <c r="M140" s="19"/>
      <c r="N140" s="19"/>
      <c r="O140" s="19"/>
      <c r="P140" s="19"/>
      <c r="Q140" s="19"/>
      <c r="R140" s="6" t="str">
        <f aca="false">IF(B140="","",IF(COUNTIF(L140:Q140,"X")=0,"",IF(COUNTIF(L140:Q140,"X")=COUNTA(Model!$B$12:$B$17),"ALL",_xlfn.TEXTJOIN(", ",TRUE(),IF(L140="X",L$4,""),IF(M140="X",M$4,""),IF(N140="X",N$4,""),IF(O140="X",O$4,""),IF(P140="X",P$4,""),IF(Q140="X",Q$4,"")))))</f>
        <v/>
      </c>
      <c r="S140" s="6" t="str">
        <f aca="false">IF(B140="","",IF(B140&gt;B139+1,"Level skips a step",IF(AND(B140&gt;0,OR(H140="",H140&lt;=0)),"Qty missing or 0",IF(AND(J140="Existing",K140=""),"Existing ID missing",IF(AND(B140=Model!$B$8+1,COUNTIF(L140:Q140,"X")=0),"Not in any variant",IF(AND(NOT(B140=Model!$B$8+1),COUNTIF(L140:Q140,"X")&gt;0),"X outside configured item","OK"))))))</f>
        <v/>
      </c>
    </row>
    <row r="141" customFormat="false" ht="15" hidden="false" customHeight="false" outlineLevel="0" collapsed="false">
      <c r="A141" s="17" t="str">
        <f aca="false">IF(B141="","",ROW()-4)</f>
        <v/>
      </c>
      <c r="B141" s="18"/>
      <c r="C141" s="18"/>
      <c r="D141" s="18"/>
      <c r="E141" s="12"/>
      <c r="F141" s="18"/>
      <c r="G141" s="18"/>
      <c r="H141" s="18"/>
      <c r="I141" s="18"/>
      <c r="J141" s="18"/>
      <c r="K141" s="18"/>
      <c r="L141" s="19"/>
      <c r="M141" s="19"/>
      <c r="N141" s="19"/>
      <c r="O141" s="19"/>
      <c r="P141" s="19"/>
      <c r="Q141" s="19"/>
      <c r="R141" s="6" t="str">
        <f aca="false">IF(B141="","",IF(COUNTIF(L141:Q141,"X")=0,"",IF(COUNTIF(L141:Q141,"X")=COUNTA(Model!$B$12:$B$17),"ALL",_xlfn.TEXTJOIN(", ",TRUE(),IF(L141="X",L$4,""),IF(M141="X",M$4,""),IF(N141="X",N$4,""),IF(O141="X",O$4,""),IF(P141="X",P$4,""),IF(Q141="X",Q$4,"")))))</f>
        <v/>
      </c>
      <c r="S141" s="6" t="str">
        <f aca="false">IF(B141="","",IF(B141&gt;B140+1,"Level skips a step",IF(AND(B141&gt;0,OR(H141="",H141&lt;=0)),"Qty missing or 0",IF(AND(J141="Existing",K141=""),"Existing ID missing",IF(AND(B141=Model!$B$8+1,COUNTIF(L141:Q141,"X")=0),"Not in any variant",IF(AND(NOT(B141=Model!$B$8+1),COUNTIF(L141:Q141,"X")&gt;0),"X outside configured item","OK"))))))</f>
        <v/>
      </c>
    </row>
    <row r="142" customFormat="false" ht="15" hidden="false" customHeight="false" outlineLevel="0" collapsed="false">
      <c r="A142" s="17" t="str">
        <f aca="false">IF(B142="","",ROW()-4)</f>
        <v/>
      </c>
      <c r="B142" s="18"/>
      <c r="C142" s="18"/>
      <c r="D142" s="18"/>
      <c r="E142" s="12"/>
      <c r="F142" s="18"/>
      <c r="G142" s="18"/>
      <c r="H142" s="18"/>
      <c r="I142" s="18"/>
      <c r="J142" s="18"/>
      <c r="K142" s="18"/>
      <c r="L142" s="19"/>
      <c r="M142" s="19"/>
      <c r="N142" s="19"/>
      <c r="O142" s="19"/>
      <c r="P142" s="19"/>
      <c r="Q142" s="19"/>
      <c r="R142" s="6" t="str">
        <f aca="false">IF(B142="","",IF(COUNTIF(L142:Q142,"X")=0,"",IF(COUNTIF(L142:Q142,"X")=COUNTA(Model!$B$12:$B$17),"ALL",_xlfn.TEXTJOIN(", ",TRUE(),IF(L142="X",L$4,""),IF(M142="X",M$4,""),IF(N142="X",N$4,""),IF(O142="X",O$4,""),IF(P142="X",P$4,""),IF(Q142="X",Q$4,"")))))</f>
        <v/>
      </c>
      <c r="S142" s="6" t="str">
        <f aca="false">IF(B142="","",IF(B142&gt;B141+1,"Level skips a step",IF(AND(B142&gt;0,OR(H142="",H142&lt;=0)),"Qty missing or 0",IF(AND(J142="Existing",K142=""),"Existing ID missing",IF(AND(B142=Model!$B$8+1,COUNTIF(L142:Q142,"X")=0),"Not in any variant",IF(AND(NOT(B142=Model!$B$8+1),COUNTIF(L142:Q142,"X")&gt;0),"X outside configured item","OK"))))))</f>
        <v/>
      </c>
    </row>
    <row r="143" customFormat="false" ht="15" hidden="false" customHeight="false" outlineLevel="0" collapsed="false">
      <c r="A143" s="17" t="str">
        <f aca="false">IF(B143="","",ROW()-4)</f>
        <v/>
      </c>
      <c r="B143" s="18"/>
      <c r="C143" s="18"/>
      <c r="D143" s="18"/>
      <c r="E143" s="12"/>
      <c r="F143" s="18"/>
      <c r="G143" s="18"/>
      <c r="H143" s="18"/>
      <c r="I143" s="18"/>
      <c r="J143" s="18"/>
      <c r="K143" s="18"/>
      <c r="L143" s="19"/>
      <c r="M143" s="19"/>
      <c r="N143" s="19"/>
      <c r="O143" s="19"/>
      <c r="P143" s="19"/>
      <c r="Q143" s="19"/>
      <c r="R143" s="6" t="str">
        <f aca="false">IF(B143="","",IF(COUNTIF(L143:Q143,"X")=0,"",IF(COUNTIF(L143:Q143,"X")=COUNTA(Model!$B$12:$B$17),"ALL",_xlfn.TEXTJOIN(", ",TRUE(),IF(L143="X",L$4,""),IF(M143="X",M$4,""),IF(N143="X",N$4,""),IF(O143="X",O$4,""),IF(P143="X",P$4,""),IF(Q143="X",Q$4,"")))))</f>
        <v/>
      </c>
      <c r="S143" s="6" t="str">
        <f aca="false">IF(B143="","",IF(B143&gt;B142+1,"Level skips a step",IF(AND(B143&gt;0,OR(H143="",H143&lt;=0)),"Qty missing or 0",IF(AND(J143="Existing",K143=""),"Existing ID missing",IF(AND(B143=Model!$B$8+1,COUNTIF(L143:Q143,"X")=0),"Not in any variant",IF(AND(NOT(B143=Model!$B$8+1),COUNTIF(L143:Q143,"X")&gt;0),"X outside configured item","OK"))))))</f>
        <v/>
      </c>
    </row>
    <row r="144" customFormat="false" ht="15" hidden="false" customHeight="false" outlineLevel="0" collapsed="false">
      <c r="A144" s="17" t="str">
        <f aca="false">IF(B144="","",ROW()-4)</f>
        <v/>
      </c>
      <c r="B144" s="18"/>
      <c r="C144" s="18"/>
      <c r="D144" s="18"/>
      <c r="E144" s="12"/>
      <c r="F144" s="18"/>
      <c r="G144" s="18"/>
      <c r="H144" s="18"/>
      <c r="I144" s="18"/>
      <c r="J144" s="18"/>
      <c r="K144" s="18"/>
      <c r="L144" s="19"/>
      <c r="M144" s="19"/>
      <c r="N144" s="19"/>
      <c r="O144" s="19"/>
      <c r="P144" s="19"/>
      <c r="Q144" s="19"/>
      <c r="R144" s="6" t="str">
        <f aca="false">IF(B144="","",IF(COUNTIF(L144:Q144,"X")=0,"",IF(COUNTIF(L144:Q144,"X")=COUNTA(Model!$B$12:$B$17),"ALL",_xlfn.TEXTJOIN(", ",TRUE(),IF(L144="X",L$4,""),IF(M144="X",M$4,""),IF(N144="X",N$4,""),IF(O144="X",O$4,""),IF(P144="X",P$4,""),IF(Q144="X",Q$4,"")))))</f>
        <v/>
      </c>
      <c r="S144" s="6" t="str">
        <f aca="false">IF(B144="","",IF(B144&gt;B143+1,"Level skips a step",IF(AND(B144&gt;0,OR(H144="",H144&lt;=0)),"Qty missing or 0",IF(AND(J144="Existing",K144=""),"Existing ID missing",IF(AND(B144=Model!$B$8+1,COUNTIF(L144:Q144,"X")=0),"Not in any variant",IF(AND(NOT(B144=Model!$B$8+1),COUNTIF(L144:Q144,"X")&gt;0),"X outside configured item","OK"))))))</f>
        <v/>
      </c>
    </row>
    <row r="145" customFormat="false" ht="15" hidden="false" customHeight="false" outlineLevel="0" collapsed="false">
      <c r="A145" s="17" t="str">
        <f aca="false">IF(B145="","",ROW()-4)</f>
        <v/>
      </c>
      <c r="B145" s="18"/>
      <c r="C145" s="18"/>
      <c r="D145" s="18"/>
      <c r="E145" s="12"/>
      <c r="F145" s="18"/>
      <c r="G145" s="18"/>
      <c r="H145" s="18"/>
      <c r="I145" s="18"/>
      <c r="J145" s="18"/>
      <c r="K145" s="18"/>
      <c r="L145" s="19"/>
      <c r="M145" s="19"/>
      <c r="N145" s="19"/>
      <c r="O145" s="19"/>
      <c r="P145" s="19"/>
      <c r="Q145" s="19"/>
      <c r="R145" s="6" t="str">
        <f aca="false">IF(B145="","",IF(COUNTIF(L145:Q145,"X")=0,"",IF(COUNTIF(L145:Q145,"X")=COUNTA(Model!$B$12:$B$17),"ALL",_xlfn.TEXTJOIN(", ",TRUE(),IF(L145="X",L$4,""),IF(M145="X",M$4,""),IF(N145="X",N$4,""),IF(O145="X",O$4,""),IF(P145="X",P$4,""),IF(Q145="X",Q$4,"")))))</f>
        <v/>
      </c>
      <c r="S145" s="6" t="str">
        <f aca="false">IF(B145="","",IF(B145&gt;B144+1,"Level skips a step",IF(AND(B145&gt;0,OR(H145="",H145&lt;=0)),"Qty missing or 0",IF(AND(J145="Existing",K145=""),"Existing ID missing",IF(AND(B145=Model!$B$8+1,COUNTIF(L145:Q145,"X")=0),"Not in any variant",IF(AND(NOT(B145=Model!$B$8+1),COUNTIF(L145:Q145,"X")&gt;0),"X outside configured item","OK"))))))</f>
        <v/>
      </c>
    </row>
    <row r="146" customFormat="false" ht="15" hidden="false" customHeight="false" outlineLevel="0" collapsed="false">
      <c r="A146" s="17" t="str">
        <f aca="false">IF(B146="","",ROW()-4)</f>
        <v/>
      </c>
      <c r="B146" s="18"/>
      <c r="C146" s="18"/>
      <c r="D146" s="18"/>
      <c r="E146" s="12"/>
      <c r="F146" s="18"/>
      <c r="G146" s="18"/>
      <c r="H146" s="18"/>
      <c r="I146" s="18"/>
      <c r="J146" s="18"/>
      <c r="K146" s="18"/>
      <c r="L146" s="19"/>
      <c r="M146" s="19"/>
      <c r="N146" s="19"/>
      <c r="O146" s="19"/>
      <c r="P146" s="19"/>
      <c r="Q146" s="19"/>
      <c r="R146" s="6" t="str">
        <f aca="false">IF(B146="","",IF(COUNTIF(L146:Q146,"X")=0,"",IF(COUNTIF(L146:Q146,"X")=COUNTA(Model!$B$12:$B$17),"ALL",_xlfn.TEXTJOIN(", ",TRUE(),IF(L146="X",L$4,""),IF(M146="X",M$4,""),IF(N146="X",N$4,""),IF(O146="X",O$4,""),IF(P146="X",P$4,""),IF(Q146="X",Q$4,"")))))</f>
        <v/>
      </c>
      <c r="S146" s="6" t="str">
        <f aca="false">IF(B146="","",IF(B146&gt;B145+1,"Level skips a step",IF(AND(B146&gt;0,OR(H146="",H146&lt;=0)),"Qty missing or 0",IF(AND(J146="Existing",K146=""),"Existing ID missing",IF(AND(B146=Model!$B$8+1,COUNTIF(L146:Q146,"X")=0),"Not in any variant",IF(AND(NOT(B146=Model!$B$8+1),COUNTIF(L146:Q146,"X")&gt;0),"X outside configured item","OK"))))))</f>
        <v/>
      </c>
    </row>
    <row r="147" customFormat="false" ht="15" hidden="false" customHeight="false" outlineLevel="0" collapsed="false">
      <c r="A147" s="17" t="str">
        <f aca="false">IF(B147="","",ROW()-4)</f>
        <v/>
      </c>
      <c r="B147" s="18"/>
      <c r="C147" s="18"/>
      <c r="D147" s="18"/>
      <c r="E147" s="12"/>
      <c r="F147" s="18"/>
      <c r="G147" s="18"/>
      <c r="H147" s="18"/>
      <c r="I147" s="18"/>
      <c r="J147" s="18"/>
      <c r="K147" s="18"/>
      <c r="L147" s="19"/>
      <c r="M147" s="19"/>
      <c r="N147" s="19"/>
      <c r="O147" s="19"/>
      <c r="P147" s="19"/>
      <c r="Q147" s="19"/>
      <c r="R147" s="6" t="str">
        <f aca="false">IF(B147="","",IF(COUNTIF(L147:Q147,"X")=0,"",IF(COUNTIF(L147:Q147,"X")=COUNTA(Model!$B$12:$B$17),"ALL",_xlfn.TEXTJOIN(", ",TRUE(),IF(L147="X",L$4,""),IF(M147="X",M$4,""),IF(N147="X",N$4,""),IF(O147="X",O$4,""),IF(P147="X",P$4,""),IF(Q147="X",Q$4,"")))))</f>
        <v/>
      </c>
      <c r="S147" s="6" t="str">
        <f aca="false">IF(B147="","",IF(B147&gt;B146+1,"Level skips a step",IF(AND(B147&gt;0,OR(H147="",H147&lt;=0)),"Qty missing or 0",IF(AND(J147="Existing",K147=""),"Existing ID missing",IF(AND(B147=Model!$B$8+1,COUNTIF(L147:Q147,"X")=0),"Not in any variant",IF(AND(NOT(B147=Model!$B$8+1),COUNTIF(L147:Q147,"X")&gt;0),"X outside configured item","OK"))))))</f>
        <v/>
      </c>
    </row>
    <row r="148" customFormat="false" ht="15" hidden="false" customHeight="false" outlineLevel="0" collapsed="false">
      <c r="A148" s="17" t="str">
        <f aca="false">IF(B148="","",ROW()-4)</f>
        <v/>
      </c>
      <c r="B148" s="18"/>
      <c r="C148" s="18"/>
      <c r="D148" s="18"/>
      <c r="E148" s="12"/>
      <c r="F148" s="18"/>
      <c r="G148" s="18"/>
      <c r="H148" s="18"/>
      <c r="I148" s="18"/>
      <c r="J148" s="18"/>
      <c r="K148" s="18"/>
      <c r="L148" s="19"/>
      <c r="M148" s="19"/>
      <c r="N148" s="19"/>
      <c r="O148" s="19"/>
      <c r="P148" s="19"/>
      <c r="Q148" s="19"/>
      <c r="R148" s="6" t="str">
        <f aca="false">IF(B148="","",IF(COUNTIF(L148:Q148,"X")=0,"",IF(COUNTIF(L148:Q148,"X")=COUNTA(Model!$B$12:$B$17),"ALL",_xlfn.TEXTJOIN(", ",TRUE(),IF(L148="X",L$4,""),IF(M148="X",M$4,""),IF(N148="X",N$4,""),IF(O148="X",O$4,""),IF(P148="X",P$4,""),IF(Q148="X",Q$4,"")))))</f>
        <v/>
      </c>
      <c r="S148" s="6" t="str">
        <f aca="false">IF(B148="","",IF(B148&gt;B147+1,"Level skips a step",IF(AND(B148&gt;0,OR(H148="",H148&lt;=0)),"Qty missing or 0",IF(AND(J148="Existing",K148=""),"Existing ID missing",IF(AND(B148=Model!$B$8+1,COUNTIF(L148:Q148,"X")=0),"Not in any variant",IF(AND(NOT(B148=Model!$B$8+1),COUNTIF(L148:Q148,"X")&gt;0),"X outside configured item","OK"))))))</f>
        <v/>
      </c>
    </row>
    <row r="149" customFormat="false" ht="15" hidden="false" customHeight="false" outlineLevel="0" collapsed="false">
      <c r="A149" s="17" t="str">
        <f aca="false">IF(B149="","",ROW()-4)</f>
        <v/>
      </c>
      <c r="B149" s="18"/>
      <c r="C149" s="18"/>
      <c r="D149" s="18"/>
      <c r="E149" s="12"/>
      <c r="F149" s="18"/>
      <c r="G149" s="18"/>
      <c r="H149" s="18"/>
      <c r="I149" s="18"/>
      <c r="J149" s="18"/>
      <c r="K149" s="18"/>
      <c r="L149" s="19"/>
      <c r="M149" s="19"/>
      <c r="N149" s="19"/>
      <c r="O149" s="19"/>
      <c r="P149" s="19"/>
      <c r="Q149" s="19"/>
      <c r="R149" s="6" t="str">
        <f aca="false">IF(B149="","",IF(COUNTIF(L149:Q149,"X")=0,"",IF(COUNTIF(L149:Q149,"X")=COUNTA(Model!$B$12:$B$17),"ALL",_xlfn.TEXTJOIN(", ",TRUE(),IF(L149="X",L$4,""),IF(M149="X",M$4,""),IF(N149="X",N$4,""),IF(O149="X",O$4,""),IF(P149="X",P$4,""),IF(Q149="X",Q$4,"")))))</f>
        <v/>
      </c>
      <c r="S149" s="6" t="str">
        <f aca="false">IF(B149="","",IF(B149&gt;B148+1,"Level skips a step",IF(AND(B149&gt;0,OR(H149="",H149&lt;=0)),"Qty missing or 0",IF(AND(J149="Existing",K149=""),"Existing ID missing",IF(AND(B149=Model!$B$8+1,COUNTIF(L149:Q149,"X")=0),"Not in any variant",IF(AND(NOT(B149=Model!$B$8+1),COUNTIF(L149:Q149,"X")&gt;0),"X outside configured item","OK"))))))</f>
        <v/>
      </c>
    </row>
    <row r="150" customFormat="false" ht="15" hidden="false" customHeight="false" outlineLevel="0" collapsed="false">
      <c r="A150" s="17" t="str">
        <f aca="false">IF(B150="","",ROW()-4)</f>
        <v/>
      </c>
      <c r="B150" s="18"/>
      <c r="C150" s="18"/>
      <c r="D150" s="18"/>
      <c r="E150" s="12"/>
      <c r="F150" s="18"/>
      <c r="G150" s="18"/>
      <c r="H150" s="18"/>
      <c r="I150" s="18"/>
      <c r="J150" s="18"/>
      <c r="K150" s="18"/>
      <c r="L150" s="19"/>
      <c r="M150" s="19"/>
      <c r="N150" s="19"/>
      <c r="O150" s="19"/>
      <c r="P150" s="19"/>
      <c r="Q150" s="19"/>
      <c r="R150" s="6" t="str">
        <f aca="false">IF(B150="","",IF(COUNTIF(L150:Q150,"X")=0,"",IF(COUNTIF(L150:Q150,"X")=COUNTA(Model!$B$12:$B$17),"ALL",_xlfn.TEXTJOIN(", ",TRUE(),IF(L150="X",L$4,""),IF(M150="X",M$4,""),IF(N150="X",N$4,""),IF(O150="X",O$4,""),IF(P150="X",P$4,""),IF(Q150="X",Q$4,"")))))</f>
        <v/>
      </c>
      <c r="S150" s="6" t="str">
        <f aca="false">IF(B150="","",IF(B150&gt;B149+1,"Level skips a step",IF(AND(B150&gt;0,OR(H150="",H150&lt;=0)),"Qty missing or 0",IF(AND(J150="Existing",K150=""),"Existing ID missing",IF(AND(B150=Model!$B$8+1,COUNTIF(L150:Q150,"X")=0),"Not in any variant",IF(AND(NOT(B150=Model!$B$8+1),COUNTIF(L150:Q150,"X")&gt;0),"X outside configured item","OK"))))))</f>
        <v/>
      </c>
    </row>
    <row r="151" customFormat="false" ht="15" hidden="false" customHeight="false" outlineLevel="0" collapsed="false">
      <c r="A151" s="17" t="str">
        <f aca="false">IF(B151="","",ROW()-4)</f>
        <v/>
      </c>
      <c r="B151" s="18"/>
      <c r="C151" s="18"/>
      <c r="D151" s="18"/>
      <c r="E151" s="12"/>
      <c r="F151" s="18"/>
      <c r="G151" s="18"/>
      <c r="H151" s="18"/>
      <c r="I151" s="18"/>
      <c r="J151" s="18"/>
      <c r="K151" s="18"/>
      <c r="L151" s="19"/>
      <c r="M151" s="19"/>
      <c r="N151" s="19"/>
      <c r="O151" s="19"/>
      <c r="P151" s="19"/>
      <c r="Q151" s="19"/>
      <c r="R151" s="6" t="str">
        <f aca="false">IF(B151="","",IF(COUNTIF(L151:Q151,"X")=0,"",IF(COUNTIF(L151:Q151,"X")=COUNTA(Model!$B$12:$B$17),"ALL",_xlfn.TEXTJOIN(", ",TRUE(),IF(L151="X",L$4,""),IF(M151="X",M$4,""),IF(N151="X",N$4,""),IF(O151="X",O$4,""),IF(P151="X",P$4,""),IF(Q151="X",Q$4,"")))))</f>
        <v/>
      </c>
      <c r="S151" s="6" t="str">
        <f aca="false">IF(B151="","",IF(B151&gt;B150+1,"Level skips a step",IF(AND(B151&gt;0,OR(H151="",H151&lt;=0)),"Qty missing or 0",IF(AND(J151="Existing",K151=""),"Existing ID missing",IF(AND(B151=Model!$B$8+1,COUNTIF(L151:Q151,"X")=0),"Not in any variant",IF(AND(NOT(B151=Model!$B$8+1),COUNTIF(L151:Q151,"X")&gt;0),"X outside configured item","OK"))))))</f>
        <v/>
      </c>
    </row>
    <row r="152" customFormat="false" ht="15" hidden="false" customHeight="false" outlineLevel="0" collapsed="false">
      <c r="A152" s="17" t="str">
        <f aca="false">IF(B152="","",ROW()-4)</f>
        <v/>
      </c>
      <c r="B152" s="18"/>
      <c r="C152" s="18"/>
      <c r="D152" s="18"/>
      <c r="E152" s="12"/>
      <c r="F152" s="18"/>
      <c r="G152" s="18"/>
      <c r="H152" s="18"/>
      <c r="I152" s="18"/>
      <c r="J152" s="18"/>
      <c r="K152" s="18"/>
      <c r="L152" s="19"/>
      <c r="M152" s="19"/>
      <c r="N152" s="19"/>
      <c r="O152" s="19"/>
      <c r="P152" s="19"/>
      <c r="Q152" s="19"/>
      <c r="R152" s="6" t="str">
        <f aca="false">IF(B152="","",IF(COUNTIF(L152:Q152,"X")=0,"",IF(COUNTIF(L152:Q152,"X")=COUNTA(Model!$B$12:$B$17),"ALL",_xlfn.TEXTJOIN(", ",TRUE(),IF(L152="X",L$4,""),IF(M152="X",M$4,""),IF(N152="X",N$4,""),IF(O152="X",O$4,""),IF(P152="X",P$4,""),IF(Q152="X",Q$4,"")))))</f>
        <v/>
      </c>
      <c r="S152" s="6" t="str">
        <f aca="false">IF(B152="","",IF(B152&gt;B151+1,"Level skips a step",IF(AND(B152&gt;0,OR(H152="",H152&lt;=0)),"Qty missing or 0",IF(AND(J152="Existing",K152=""),"Existing ID missing",IF(AND(B152=Model!$B$8+1,COUNTIF(L152:Q152,"X")=0),"Not in any variant",IF(AND(NOT(B152=Model!$B$8+1),COUNTIF(L152:Q152,"X")&gt;0),"X outside configured item","OK"))))))</f>
        <v/>
      </c>
    </row>
    <row r="153" customFormat="false" ht="15" hidden="false" customHeight="false" outlineLevel="0" collapsed="false">
      <c r="A153" s="17" t="str">
        <f aca="false">IF(B153="","",ROW()-4)</f>
        <v/>
      </c>
      <c r="B153" s="18"/>
      <c r="C153" s="18"/>
      <c r="D153" s="18"/>
      <c r="E153" s="12"/>
      <c r="F153" s="18"/>
      <c r="G153" s="18"/>
      <c r="H153" s="18"/>
      <c r="I153" s="18"/>
      <c r="J153" s="18"/>
      <c r="K153" s="18"/>
      <c r="L153" s="19"/>
      <c r="M153" s="19"/>
      <c r="N153" s="19"/>
      <c r="O153" s="19"/>
      <c r="P153" s="19"/>
      <c r="Q153" s="19"/>
      <c r="R153" s="6" t="str">
        <f aca="false">IF(B153="","",IF(COUNTIF(L153:Q153,"X")=0,"",IF(COUNTIF(L153:Q153,"X")=COUNTA(Model!$B$12:$B$17),"ALL",_xlfn.TEXTJOIN(", ",TRUE(),IF(L153="X",L$4,""),IF(M153="X",M$4,""),IF(N153="X",N$4,""),IF(O153="X",O$4,""),IF(P153="X",P$4,""),IF(Q153="X",Q$4,"")))))</f>
        <v/>
      </c>
      <c r="S153" s="6" t="str">
        <f aca="false">IF(B153="","",IF(B153&gt;B152+1,"Level skips a step",IF(AND(B153&gt;0,OR(H153="",H153&lt;=0)),"Qty missing or 0",IF(AND(J153="Existing",K153=""),"Existing ID missing",IF(AND(B153=Model!$B$8+1,COUNTIF(L153:Q153,"X")=0),"Not in any variant",IF(AND(NOT(B153=Model!$B$8+1),COUNTIF(L153:Q153,"X")&gt;0),"X outside configured item","OK"))))))</f>
        <v/>
      </c>
    </row>
    <row r="154" customFormat="false" ht="15" hidden="false" customHeight="false" outlineLevel="0" collapsed="false">
      <c r="A154" s="17" t="str">
        <f aca="false">IF(B154="","",ROW()-4)</f>
        <v/>
      </c>
      <c r="B154" s="18"/>
      <c r="C154" s="18"/>
      <c r="D154" s="18"/>
      <c r="E154" s="12"/>
      <c r="F154" s="18"/>
      <c r="G154" s="18"/>
      <c r="H154" s="18"/>
      <c r="I154" s="18"/>
      <c r="J154" s="18"/>
      <c r="K154" s="18"/>
      <c r="L154" s="19"/>
      <c r="M154" s="19"/>
      <c r="N154" s="19"/>
      <c r="O154" s="19"/>
      <c r="P154" s="19"/>
      <c r="Q154" s="19"/>
      <c r="R154" s="6" t="str">
        <f aca="false">IF(B154="","",IF(COUNTIF(L154:Q154,"X")=0,"",IF(COUNTIF(L154:Q154,"X")=COUNTA(Model!$B$12:$B$17),"ALL",_xlfn.TEXTJOIN(", ",TRUE(),IF(L154="X",L$4,""),IF(M154="X",M$4,""),IF(N154="X",N$4,""),IF(O154="X",O$4,""),IF(P154="X",P$4,""),IF(Q154="X",Q$4,"")))))</f>
        <v/>
      </c>
      <c r="S154" s="6" t="str">
        <f aca="false">IF(B154="","",IF(B154&gt;B153+1,"Level skips a step",IF(AND(B154&gt;0,OR(H154="",H154&lt;=0)),"Qty missing or 0",IF(AND(J154="Existing",K154=""),"Existing ID missing",IF(AND(B154=Model!$B$8+1,COUNTIF(L154:Q154,"X")=0),"Not in any variant",IF(AND(NOT(B154=Model!$B$8+1),COUNTIF(L154:Q154,"X")&gt;0),"X outside configured item","OK"))))))</f>
        <v/>
      </c>
    </row>
    <row r="155" customFormat="false" ht="15" hidden="false" customHeight="false" outlineLevel="0" collapsed="false">
      <c r="A155" s="17" t="str">
        <f aca="false">IF(B155="","",ROW()-4)</f>
        <v/>
      </c>
      <c r="B155" s="18"/>
      <c r="C155" s="18"/>
      <c r="D155" s="18"/>
      <c r="E155" s="12"/>
      <c r="F155" s="18"/>
      <c r="G155" s="18"/>
      <c r="H155" s="18"/>
      <c r="I155" s="18"/>
      <c r="J155" s="18"/>
      <c r="K155" s="18"/>
      <c r="L155" s="19"/>
      <c r="M155" s="19"/>
      <c r="N155" s="19"/>
      <c r="O155" s="19"/>
      <c r="P155" s="19"/>
      <c r="Q155" s="19"/>
      <c r="R155" s="6" t="str">
        <f aca="false">IF(B155="","",IF(COUNTIF(L155:Q155,"X")=0,"",IF(COUNTIF(L155:Q155,"X")=COUNTA(Model!$B$12:$B$17),"ALL",_xlfn.TEXTJOIN(", ",TRUE(),IF(L155="X",L$4,""),IF(M155="X",M$4,""),IF(N155="X",N$4,""),IF(O155="X",O$4,""),IF(P155="X",P$4,""),IF(Q155="X",Q$4,"")))))</f>
        <v/>
      </c>
      <c r="S155" s="6" t="str">
        <f aca="false">IF(B155="","",IF(B155&gt;B154+1,"Level skips a step",IF(AND(B155&gt;0,OR(H155="",H155&lt;=0)),"Qty missing or 0",IF(AND(J155="Existing",K155=""),"Existing ID missing",IF(AND(B155=Model!$B$8+1,COUNTIF(L155:Q155,"X")=0),"Not in any variant",IF(AND(NOT(B155=Model!$B$8+1),COUNTIF(L155:Q155,"X")&gt;0),"X outside configured item","OK"))))))</f>
        <v/>
      </c>
    </row>
    <row r="156" customFormat="false" ht="15" hidden="false" customHeight="false" outlineLevel="0" collapsed="false">
      <c r="A156" s="17" t="str">
        <f aca="false">IF(B156="","",ROW()-4)</f>
        <v/>
      </c>
      <c r="B156" s="18"/>
      <c r="C156" s="18"/>
      <c r="D156" s="18"/>
      <c r="E156" s="12"/>
      <c r="F156" s="18"/>
      <c r="G156" s="18"/>
      <c r="H156" s="18"/>
      <c r="I156" s="18"/>
      <c r="J156" s="18"/>
      <c r="K156" s="18"/>
      <c r="L156" s="19"/>
      <c r="M156" s="19"/>
      <c r="N156" s="19"/>
      <c r="O156" s="19"/>
      <c r="P156" s="19"/>
      <c r="Q156" s="19"/>
      <c r="R156" s="6" t="str">
        <f aca="false">IF(B156="","",IF(COUNTIF(L156:Q156,"X")=0,"",IF(COUNTIF(L156:Q156,"X")=COUNTA(Model!$B$12:$B$17),"ALL",_xlfn.TEXTJOIN(", ",TRUE(),IF(L156="X",L$4,""),IF(M156="X",M$4,""),IF(N156="X",N$4,""),IF(O156="X",O$4,""),IF(P156="X",P$4,""),IF(Q156="X",Q$4,"")))))</f>
        <v/>
      </c>
      <c r="S156" s="6" t="str">
        <f aca="false">IF(B156="","",IF(B156&gt;B155+1,"Level skips a step",IF(AND(B156&gt;0,OR(H156="",H156&lt;=0)),"Qty missing or 0",IF(AND(J156="Existing",K156=""),"Existing ID missing",IF(AND(B156=Model!$B$8+1,COUNTIF(L156:Q156,"X")=0),"Not in any variant",IF(AND(NOT(B156=Model!$B$8+1),COUNTIF(L156:Q156,"X")&gt;0),"X outside configured item","OK"))))))</f>
        <v/>
      </c>
    </row>
    <row r="157" customFormat="false" ht="15" hidden="false" customHeight="false" outlineLevel="0" collapsed="false">
      <c r="A157" s="17" t="str">
        <f aca="false">IF(B157="","",ROW()-4)</f>
        <v/>
      </c>
      <c r="B157" s="18"/>
      <c r="C157" s="18"/>
      <c r="D157" s="18"/>
      <c r="E157" s="12"/>
      <c r="F157" s="18"/>
      <c r="G157" s="18"/>
      <c r="H157" s="18"/>
      <c r="I157" s="18"/>
      <c r="J157" s="18"/>
      <c r="K157" s="18"/>
      <c r="L157" s="19"/>
      <c r="M157" s="19"/>
      <c r="N157" s="19"/>
      <c r="O157" s="19"/>
      <c r="P157" s="19"/>
      <c r="Q157" s="19"/>
      <c r="R157" s="6" t="str">
        <f aca="false">IF(B157="","",IF(COUNTIF(L157:Q157,"X")=0,"",IF(COUNTIF(L157:Q157,"X")=COUNTA(Model!$B$12:$B$17),"ALL",_xlfn.TEXTJOIN(", ",TRUE(),IF(L157="X",L$4,""),IF(M157="X",M$4,""),IF(N157="X",N$4,""),IF(O157="X",O$4,""),IF(P157="X",P$4,""),IF(Q157="X",Q$4,"")))))</f>
        <v/>
      </c>
      <c r="S157" s="6" t="str">
        <f aca="false">IF(B157="","",IF(B157&gt;B156+1,"Level skips a step",IF(AND(B157&gt;0,OR(H157="",H157&lt;=0)),"Qty missing or 0",IF(AND(J157="Existing",K157=""),"Existing ID missing",IF(AND(B157=Model!$B$8+1,COUNTIF(L157:Q157,"X")=0),"Not in any variant",IF(AND(NOT(B157=Model!$B$8+1),COUNTIF(L157:Q157,"X")&gt;0),"X outside configured item","OK"))))))</f>
        <v/>
      </c>
    </row>
    <row r="158" customFormat="false" ht="15" hidden="false" customHeight="false" outlineLevel="0" collapsed="false">
      <c r="A158" s="17" t="str">
        <f aca="false">IF(B158="","",ROW()-4)</f>
        <v/>
      </c>
      <c r="B158" s="18"/>
      <c r="C158" s="18"/>
      <c r="D158" s="18"/>
      <c r="E158" s="12"/>
      <c r="F158" s="18"/>
      <c r="G158" s="18"/>
      <c r="H158" s="18"/>
      <c r="I158" s="18"/>
      <c r="J158" s="18"/>
      <c r="K158" s="18"/>
      <c r="L158" s="19"/>
      <c r="M158" s="19"/>
      <c r="N158" s="19"/>
      <c r="O158" s="19"/>
      <c r="P158" s="19"/>
      <c r="Q158" s="19"/>
      <c r="R158" s="6" t="str">
        <f aca="false">IF(B158="","",IF(COUNTIF(L158:Q158,"X")=0,"",IF(COUNTIF(L158:Q158,"X")=COUNTA(Model!$B$12:$B$17),"ALL",_xlfn.TEXTJOIN(", ",TRUE(),IF(L158="X",L$4,""),IF(M158="X",M$4,""),IF(N158="X",N$4,""),IF(O158="X",O$4,""),IF(P158="X",P$4,""),IF(Q158="X",Q$4,"")))))</f>
        <v/>
      </c>
      <c r="S158" s="6" t="str">
        <f aca="false">IF(B158="","",IF(B158&gt;B157+1,"Level skips a step",IF(AND(B158&gt;0,OR(H158="",H158&lt;=0)),"Qty missing or 0",IF(AND(J158="Existing",K158=""),"Existing ID missing",IF(AND(B158=Model!$B$8+1,COUNTIF(L158:Q158,"X")=0),"Not in any variant",IF(AND(NOT(B158=Model!$B$8+1),COUNTIF(L158:Q158,"X")&gt;0),"X outside configured item","OK"))))))</f>
        <v/>
      </c>
    </row>
    <row r="159" customFormat="false" ht="15" hidden="false" customHeight="false" outlineLevel="0" collapsed="false">
      <c r="A159" s="17" t="str">
        <f aca="false">IF(B159="","",ROW()-4)</f>
        <v/>
      </c>
      <c r="B159" s="18"/>
      <c r="C159" s="18"/>
      <c r="D159" s="18"/>
      <c r="E159" s="12"/>
      <c r="F159" s="18"/>
      <c r="G159" s="18"/>
      <c r="H159" s="18"/>
      <c r="I159" s="18"/>
      <c r="J159" s="18"/>
      <c r="K159" s="18"/>
      <c r="L159" s="19"/>
      <c r="M159" s="19"/>
      <c r="N159" s="19"/>
      <c r="O159" s="19"/>
      <c r="P159" s="19"/>
      <c r="Q159" s="19"/>
      <c r="R159" s="6" t="str">
        <f aca="false">IF(B159="","",IF(COUNTIF(L159:Q159,"X")=0,"",IF(COUNTIF(L159:Q159,"X")=COUNTA(Model!$B$12:$B$17),"ALL",_xlfn.TEXTJOIN(", ",TRUE(),IF(L159="X",L$4,""),IF(M159="X",M$4,""),IF(N159="X",N$4,""),IF(O159="X",O$4,""),IF(P159="X",P$4,""),IF(Q159="X",Q$4,"")))))</f>
        <v/>
      </c>
      <c r="S159" s="6" t="str">
        <f aca="false">IF(B159="","",IF(B159&gt;B158+1,"Level skips a step",IF(AND(B159&gt;0,OR(H159="",H159&lt;=0)),"Qty missing or 0",IF(AND(J159="Existing",K159=""),"Existing ID missing",IF(AND(B159=Model!$B$8+1,COUNTIF(L159:Q159,"X")=0),"Not in any variant",IF(AND(NOT(B159=Model!$B$8+1),COUNTIF(L159:Q159,"X")&gt;0),"X outside configured item","OK"))))))</f>
        <v/>
      </c>
    </row>
    <row r="160" customFormat="false" ht="15" hidden="false" customHeight="false" outlineLevel="0" collapsed="false">
      <c r="A160" s="17" t="str">
        <f aca="false">IF(B160="","",ROW()-4)</f>
        <v/>
      </c>
      <c r="B160" s="18"/>
      <c r="C160" s="18"/>
      <c r="D160" s="18"/>
      <c r="E160" s="12"/>
      <c r="F160" s="18"/>
      <c r="G160" s="18"/>
      <c r="H160" s="18"/>
      <c r="I160" s="18"/>
      <c r="J160" s="18"/>
      <c r="K160" s="18"/>
      <c r="L160" s="19"/>
      <c r="M160" s="19"/>
      <c r="N160" s="19"/>
      <c r="O160" s="19"/>
      <c r="P160" s="19"/>
      <c r="Q160" s="19"/>
      <c r="R160" s="6" t="str">
        <f aca="false">IF(B160="","",IF(COUNTIF(L160:Q160,"X")=0,"",IF(COUNTIF(L160:Q160,"X")=COUNTA(Model!$B$12:$B$17),"ALL",_xlfn.TEXTJOIN(", ",TRUE(),IF(L160="X",L$4,""),IF(M160="X",M$4,""),IF(N160="X",N$4,""),IF(O160="X",O$4,""),IF(P160="X",P$4,""),IF(Q160="X",Q$4,"")))))</f>
        <v/>
      </c>
      <c r="S160" s="6" t="str">
        <f aca="false">IF(B160="","",IF(B160&gt;B159+1,"Level skips a step",IF(AND(B160&gt;0,OR(H160="",H160&lt;=0)),"Qty missing or 0",IF(AND(J160="Existing",K160=""),"Existing ID missing",IF(AND(B160=Model!$B$8+1,COUNTIF(L160:Q160,"X")=0),"Not in any variant",IF(AND(NOT(B160=Model!$B$8+1),COUNTIF(L160:Q160,"X")&gt;0),"X outside configured item","OK"))))))</f>
        <v/>
      </c>
    </row>
    <row r="161" customFormat="false" ht="15" hidden="false" customHeight="false" outlineLevel="0" collapsed="false">
      <c r="A161" s="17" t="str">
        <f aca="false">IF(B161="","",ROW()-4)</f>
        <v/>
      </c>
      <c r="B161" s="18"/>
      <c r="C161" s="18"/>
      <c r="D161" s="18"/>
      <c r="E161" s="12"/>
      <c r="F161" s="18"/>
      <c r="G161" s="18"/>
      <c r="H161" s="18"/>
      <c r="I161" s="18"/>
      <c r="J161" s="18"/>
      <c r="K161" s="18"/>
      <c r="L161" s="19"/>
      <c r="M161" s="19"/>
      <c r="N161" s="19"/>
      <c r="O161" s="19"/>
      <c r="P161" s="19"/>
      <c r="Q161" s="19"/>
      <c r="R161" s="6" t="str">
        <f aca="false">IF(B161="","",IF(COUNTIF(L161:Q161,"X")=0,"",IF(COUNTIF(L161:Q161,"X")=COUNTA(Model!$B$12:$B$17),"ALL",_xlfn.TEXTJOIN(", ",TRUE(),IF(L161="X",L$4,""),IF(M161="X",M$4,""),IF(N161="X",N$4,""),IF(O161="X",O$4,""),IF(P161="X",P$4,""),IF(Q161="X",Q$4,"")))))</f>
        <v/>
      </c>
      <c r="S161" s="6" t="str">
        <f aca="false">IF(B161="","",IF(B161&gt;B160+1,"Level skips a step",IF(AND(B161&gt;0,OR(H161="",H161&lt;=0)),"Qty missing or 0",IF(AND(J161="Existing",K161=""),"Existing ID missing",IF(AND(B161=Model!$B$8+1,COUNTIF(L161:Q161,"X")=0),"Not in any variant",IF(AND(NOT(B161=Model!$B$8+1),COUNTIF(L161:Q161,"X")&gt;0),"X outside configured item","OK"))))))</f>
        <v/>
      </c>
    </row>
    <row r="162" customFormat="false" ht="15" hidden="false" customHeight="false" outlineLevel="0" collapsed="false">
      <c r="A162" s="17" t="str">
        <f aca="false">IF(B162="","",ROW()-4)</f>
        <v/>
      </c>
      <c r="B162" s="18"/>
      <c r="C162" s="18"/>
      <c r="D162" s="18"/>
      <c r="E162" s="12"/>
      <c r="F162" s="18"/>
      <c r="G162" s="18"/>
      <c r="H162" s="18"/>
      <c r="I162" s="18"/>
      <c r="J162" s="18"/>
      <c r="K162" s="18"/>
      <c r="L162" s="19"/>
      <c r="M162" s="19"/>
      <c r="N162" s="19"/>
      <c r="O162" s="19"/>
      <c r="P162" s="19"/>
      <c r="Q162" s="19"/>
      <c r="R162" s="6" t="str">
        <f aca="false">IF(B162="","",IF(COUNTIF(L162:Q162,"X")=0,"",IF(COUNTIF(L162:Q162,"X")=COUNTA(Model!$B$12:$B$17),"ALL",_xlfn.TEXTJOIN(", ",TRUE(),IF(L162="X",L$4,""),IF(M162="X",M$4,""),IF(N162="X",N$4,""),IF(O162="X",O$4,""),IF(P162="X",P$4,""),IF(Q162="X",Q$4,"")))))</f>
        <v/>
      </c>
      <c r="S162" s="6" t="str">
        <f aca="false">IF(B162="","",IF(B162&gt;B161+1,"Level skips a step",IF(AND(B162&gt;0,OR(H162="",H162&lt;=0)),"Qty missing or 0",IF(AND(J162="Existing",K162=""),"Existing ID missing",IF(AND(B162=Model!$B$8+1,COUNTIF(L162:Q162,"X")=0),"Not in any variant",IF(AND(NOT(B162=Model!$B$8+1),COUNTIF(L162:Q162,"X")&gt;0),"X outside configured item","OK"))))))</f>
        <v/>
      </c>
    </row>
    <row r="163" customFormat="false" ht="15" hidden="false" customHeight="false" outlineLevel="0" collapsed="false">
      <c r="A163" s="17" t="str">
        <f aca="false">IF(B163="","",ROW()-4)</f>
        <v/>
      </c>
      <c r="B163" s="18"/>
      <c r="C163" s="18"/>
      <c r="D163" s="18"/>
      <c r="E163" s="12"/>
      <c r="F163" s="18"/>
      <c r="G163" s="18"/>
      <c r="H163" s="18"/>
      <c r="I163" s="18"/>
      <c r="J163" s="18"/>
      <c r="K163" s="18"/>
      <c r="L163" s="19"/>
      <c r="M163" s="19"/>
      <c r="N163" s="19"/>
      <c r="O163" s="19"/>
      <c r="P163" s="19"/>
      <c r="Q163" s="19"/>
      <c r="R163" s="6" t="str">
        <f aca="false">IF(B163="","",IF(COUNTIF(L163:Q163,"X")=0,"",IF(COUNTIF(L163:Q163,"X")=COUNTA(Model!$B$12:$B$17),"ALL",_xlfn.TEXTJOIN(", ",TRUE(),IF(L163="X",L$4,""),IF(M163="X",M$4,""),IF(N163="X",N$4,""),IF(O163="X",O$4,""),IF(P163="X",P$4,""),IF(Q163="X",Q$4,"")))))</f>
        <v/>
      </c>
      <c r="S163" s="6" t="str">
        <f aca="false">IF(B163="","",IF(B163&gt;B162+1,"Level skips a step",IF(AND(B163&gt;0,OR(H163="",H163&lt;=0)),"Qty missing or 0",IF(AND(J163="Existing",K163=""),"Existing ID missing",IF(AND(B163=Model!$B$8+1,COUNTIF(L163:Q163,"X")=0),"Not in any variant",IF(AND(NOT(B163=Model!$B$8+1),COUNTIF(L163:Q163,"X")&gt;0),"X outside configured item","OK"))))))</f>
        <v/>
      </c>
    </row>
    <row r="164" customFormat="false" ht="15" hidden="false" customHeight="false" outlineLevel="0" collapsed="false">
      <c r="A164" s="17" t="str">
        <f aca="false">IF(B164="","",ROW()-4)</f>
        <v/>
      </c>
      <c r="B164" s="18"/>
      <c r="C164" s="18"/>
      <c r="D164" s="18"/>
      <c r="E164" s="12"/>
      <c r="F164" s="18"/>
      <c r="G164" s="18"/>
      <c r="H164" s="18"/>
      <c r="I164" s="18"/>
      <c r="J164" s="18"/>
      <c r="K164" s="18"/>
      <c r="L164" s="19"/>
      <c r="M164" s="19"/>
      <c r="N164" s="19"/>
      <c r="O164" s="19"/>
      <c r="P164" s="19"/>
      <c r="Q164" s="19"/>
      <c r="R164" s="6" t="str">
        <f aca="false">IF(B164="","",IF(COUNTIF(L164:Q164,"X")=0,"",IF(COUNTIF(L164:Q164,"X")=COUNTA(Model!$B$12:$B$17),"ALL",_xlfn.TEXTJOIN(", ",TRUE(),IF(L164="X",L$4,""),IF(M164="X",M$4,""),IF(N164="X",N$4,""),IF(O164="X",O$4,""),IF(P164="X",P$4,""),IF(Q164="X",Q$4,"")))))</f>
        <v/>
      </c>
      <c r="S164" s="6" t="str">
        <f aca="false">IF(B164="","",IF(B164&gt;B163+1,"Level skips a step",IF(AND(B164&gt;0,OR(H164="",H164&lt;=0)),"Qty missing or 0",IF(AND(J164="Existing",K164=""),"Existing ID missing",IF(AND(B164=Model!$B$8+1,COUNTIF(L164:Q164,"X")=0),"Not in any variant",IF(AND(NOT(B164=Model!$B$8+1),COUNTIF(L164:Q164,"X")&gt;0),"X outside configured item","OK"))))))</f>
        <v/>
      </c>
    </row>
    <row r="165" customFormat="false" ht="15" hidden="false" customHeight="false" outlineLevel="0" collapsed="false">
      <c r="A165" s="17" t="str">
        <f aca="false">IF(B165="","",ROW()-4)</f>
        <v/>
      </c>
      <c r="B165" s="18"/>
      <c r="C165" s="18"/>
      <c r="D165" s="18"/>
      <c r="E165" s="12"/>
      <c r="F165" s="18"/>
      <c r="G165" s="18"/>
      <c r="H165" s="18"/>
      <c r="I165" s="18"/>
      <c r="J165" s="18"/>
      <c r="K165" s="18"/>
      <c r="L165" s="19"/>
      <c r="M165" s="19"/>
      <c r="N165" s="19"/>
      <c r="O165" s="19"/>
      <c r="P165" s="19"/>
      <c r="Q165" s="19"/>
      <c r="R165" s="6" t="str">
        <f aca="false">IF(B165="","",IF(COUNTIF(L165:Q165,"X")=0,"",IF(COUNTIF(L165:Q165,"X")=COUNTA(Model!$B$12:$B$17),"ALL",_xlfn.TEXTJOIN(", ",TRUE(),IF(L165="X",L$4,""),IF(M165="X",M$4,""),IF(N165="X",N$4,""),IF(O165="X",O$4,""),IF(P165="X",P$4,""),IF(Q165="X",Q$4,"")))))</f>
        <v/>
      </c>
      <c r="S165" s="6" t="str">
        <f aca="false">IF(B165="","",IF(B165&gt;B164+1,"Level skips a step",IF(AND(B165&gt;0,OR(H165="",H165&lt;=0)),"Qty missing or 0",IF(AND(J165="Existing",K165=""),"Existing ID missing",IF(AND(B165=Model!$B$8+1,COUNTIF(L165:Q165,"X")=0),"Not in any variant",IF(AND(NOT(B165=Model!$B$8+1),COUNTIF(L165:Q165,"X")&gt;0),"X outside configured item","OK"))))))</f>
        <v/>
      </c>
    </row>
    <row r="166" customFormat="false" ht="15" hidden="false" customHeight="false" outlineLevel="0" collapsed="false">
      <c r="A166" s="17" t="str">
        <f aca="false">IF(B166="","",ROW()-4)</f>
        <v/>
      </c>
      <c r="B166" s="18"/>
      <c r="C166" s="18"/>
      <c r="D166" s="18"/>
      <c r="E166" s="12"/>
      <c r="F166" s="18"/>
      <c r="G166" s="18"/>
      <c r="H166" s="18"/>
      <c r="I166" s="18"/>
      <c r="J166" s="18"/>
      <c r="K166" s="18"/>
      <c r="L166" s="19"/>
      <c r="M166" s="19"/>
      <c r="N166" s="19"/>
      <c r="O166" s="19"/>
      <c r="P166" s="19"/>
      <c r="Q166" s="19"/>
      <c r="R166" s="6" t="str">
        <f aca="false">IF(B166="","",IF(COUNTIF(L166:Q166,"X")=0,"",IF(COUNTIF(L166:Q166,"X")=COUNTA(Model!$B$12:$B$17),"ALL",_xlfn.TEXTJOIN(", ",TRUE(),IF(L166="X",L$4,""),IF(M166="X",M$4,""),IF(N166="X",N$4,""),IF(O166="X",O$4,""),IF(P166="X",P$4,""),IF(Q166="X",Q$4,"")))))</f>
        <v/>
      </c>
      <c r="S166" s="6" t="str">
        <f aca="false">IF(B166="","",IF(B166&gt;B165+1,"Level skips a step",IF(AND(B166&gt;0,OR(H166="",H166&lt;=0)),"Qty missing or 0",IF(AND(J166="Existing",K166=""),"Existing ID missing",IF(AND(B166=Model!$B$8+1,COUNTIF(L166:Q166,"X")=0),"Not in any variant",IF(AND(NOT(B166=Model!$B$8+1),COUNTIF(L166:Q166,"X")&gt;0),"X outside configured item","OK"))))))</f>
        <v/>
      </c>
    </row>
    <row r="167" customFormat="false" ht="15" hidden="false" customHeight="false" outlineLevel="0" collapsed="false">
      <c r="A167" s="17" t="str">
        <f aca="false">IF(B167="","",ROW()-4)</f>
        <v/>
      </c>
      <c r="B167" s="18"/>
      <c r="C167" s="18"/>
      <c r="D167" s="18"/>
      <c r="E167" s="12"/>
      <c r="F167" s="18"/>
      <c r="G167" s="18"/>
      <c r="H167" s="18"/>
      <c r="I167" s="18"/>
      <c r="J167" s="18"/>
      <c r="K167" s="18"/>
      <c r="L167" s="19"/>
      <c r="M167" s="19"/>
      <c r="N167" s="19"/>
      <c r="O167" s="19"/>
      <c r="P167" s="19"/>
      <c r="Q167" s="19"/>
      <c r="R167" s="6" t="str">
        <f aca="false">IF(B167="","",IF(COUNTIF(L167:Q167,"X")=0,"",IF(COUNTIF(L167:Q167,"X")=COUNTA(Model!$B$12:$B$17),"ALL",_xlfn.TEXTJOIN(", ",TRUE(),IF(L167="X",L$4,""),IF(M167="X",M$4,""),IF(N167="X",N$4,""),IF(O167="X",O$4,""),IF(P167="X",P$4,""),IF(Q167="X",Q$4,"")))))</f>
        <v/>
      </c>
      <c r="S167" s="6" t="str">
        <f aca="false">IF(B167="","",IF(B167&gt;B166+1,"Level skips a step",IF(AND(B167&gt;0,OR(H167="",H167&lt;=0)),"Qty missing or 0",IF(AND(J167="Existing",K167=""),"Existing ID missing",IF(AND(B167=Model!$B$8+1,COUNTIF(L167:Q167,"X")=0),"Not in any variant",IF(AND(NOT(B167=Model!$B$8+1),COUNTIF(L167:Q167,"X")&gt;0),"X outside configured item","OK"))))))</f>
        <v/>
      </c>
    </row>
    <row r="168" customFormat="false" ht="15" hidden="false" customHeight="false" outlineLevel="0" collapsed="false">
      <c r="A168" s="17" t="str">
        <f aca="false">IF(B168="","",ROW()-4)</f>
        <v/>
      </c>
      <c r="B168" s="18"/>
      <c r="C168" s="18"/>
      <c r="D168" s="18"/>
      <c r="E168" s="12"/>
      <c r="F168" s="18"/>
      <c r="G168" s="18"/>
      <c r="H168" s="18"/>
      <c r="I168" s="18"/>
      <c r="J168" s="18"/>
      <c r="K168" s="18"/>
      <c r="L168" s="19"/>
      <c r="M168" s="19"/>
      <c r="N168" s="19"/>
      <c r="O168" s="19"/>
      <c r="P168" s="19"/>
      <c r="Q168" s="19"/>
      <c r="R168" s="6" t="str">
        <f aca="false">IF(B168="","",IF(COUNTIF(L168:Q168,"X")=0,"",IF(COUNTIF(L168:Q168,"X")=COUNTA(Model!$B$12:$B$17),"ALL",_xlfn.TEXTJOIN(", ",TRUE(),IF(L168="X",L$4,""),IF(M168="X",M$4,""),IF(N168="X",N$4,""),IF(O168="X",O$4,""),IF(P168="X",P$4,""),IF(Q168="X",Q$4,"")))))</f>
        <v/>
      </c>
      <c r="S168" s="6" t="str">
        <f aca="false">IF(B168="","",IF(B168&gt;B167+1,"Level skips a step",IF(AND(B168&gt;0,OR(H168="",H168&lt;=0)),"Qty missing or 0",IF(AND(J168="Existing",K168=""),"Existing ID missing",IF(AND(B168=Model!$B$8+1,COUNTIF(L168:Q168,"X")=0),"Not in any variant",IF(AND(NOT(B168=Model!$B$8+1),COUNTIF(L168:Q168,"X")&gt;0),"X outside configured item","OK"))))))</f>
        <v/>
      </c>
    </row>
    <row r="169" customFormat="false" ht="15" hidden="false" customHeight="false" outlineLevel="0" collapsed="false">
      <c r="A169" s="17" t="str">
        <f aca="false">IF(B169="","",ROW()-4)</f>
        <v/>
      </c>
      <c r="B169" s="18"/>
      <c r="C169" s="18"/>
      <c r="D169" s="18"/>
      <c r="E169" s="12"/>
      <c r="F169" s="18"/>
      <c r="G169" s="18"/>
      <c r="H169" s="18"/>
      <c r="I169" s="18"/>
      <c r="J169" s="18"/>
      <c r="K169" s="18"/>
      <c r="L169" s="19"/>
      <c r="M169" s="19"/>
      <c r="N169" s="19"/>
      <c r="O169" s="19"/>
      <c r="P169" s="19"/>
      <c r="Q169" s="19"/>
      <c r="R169" s="6" t="str">
        <f aca="false">IF(B169="","",IF(COUNTIF(L169:Q169,"X")=0,"",IF(COUNTIF(L169:Q169,"X")=COUNTA(Model!$B$12:$B$17),"ALL",_xlfn.TEXTJOIN(", ",TRUE(),IF(L169="X",L$4,""),IF(M169="X",M$4,""),IF(N169="X",N$4,""),IF(O169="X",O$4,""),IF(P169="X",P$4,""),IF(Q169="X",Q$4,"")))))</f>
        <v/>
      </c>
      <c r="S169" s="6" t="str">
        <f aca="false">IF(B169="","",IF(B169&gt;B168+1,"Level skips a step",IF(AND(B169&gt;0,OR(H169="",H169&lt;=0)),"Qty missing or 0",IF(AND(J169="Existing",K169=""),"Existing ID missing",IF(AND(B169=Model!$B$8+1,COUNTIF(L169:Q169,"X")=0),"Not in any variant",IF(AND(NOT(B169=Model!$B$8+1),COUNTIF(L169:Q169,"X")&gt;0),"X outside configured item","OK"))))))</f>
        <v/>
      </c>
    </row>
    <row r="170" customFormat="false" ht="15" hidden="false" customHeight="false" outlineLevel="0" collapsed="false">
      <c r="A170" s="17" t="str">
        <f aca="false">IF(B170="","",ROW()-4)</f>
        <v/>
      </c>
      <c r="B170" s="18"/>
      <c r="C170" s="18"/>
      <c r="D170" s="18"/>
      <c r="E170" s="12"/>
      <c r="F170" s="18"/>
      <c r="G170" s="18"/>
      <c r="H170" s="18"/>
      <c r="I170" s="18"/>
      <c r="J170" s="18"/>
      <c r="K170" s="18"/>
      <c r="L170" s="19"/>
      <c r="M170" s="19"/>
      <c r="N170" s="19"/>
      <c r="O170" s="19"/>
      <c r="P170" s="19"/>
      <c r="Q170" s="19"/>
      <c r="R170" s="6" t="str">
        <f aca="false">IF(B170="","",IF(COUNTIF(L170:Q170,"X")=0,"",IF(COUNTIF(L170:Q170,"X")=COUNTA(Model!$B$12:$B$17),"ALL",_xlfn.TEXTJOIN(", ",TRUE(),IF(L170="X",L$4,""),IF(M170="X",M$4,""),IF(N170="X",N$4,""),IF(O170="X",O$4,""),IF(P170="X",P$4,""),IF(Q170="X",Q$4,"")))))</f>
        <v/>
      </c>
      <c r="S170" s="6" t="str">
        <f aca="false">IF(B170="","",IF(B170&gt;B169+1,"Level skips a step",IF(AND(B170&gt;0,OR(H170="",H170&lt;=0)),"Qty missing or 0",IF(AND(J170="Existing",K170=""),"Existing ID missing",IF(AND(B170=Model!$B$8+1,COUNTIF(L170:Q170,"X")=0),"Not in any variant",IF(AND(NOT(B170=Model!$B$8+1),COUNTIF(L170:Q170,"X")&gt;0),"X outside configured item","OK"))))))</f>
        <v/>
      </c>
    </row>
    <row r="171" customFormat="false" ht="15" hidden="false" customHeight="false" outlineLevel="0" collapsed="false">
      <c r="A171" s="17" t="str">
        <f aca="false">IF(B171="","",ROW()-4)</f>
        <v/>
      </c>
      <c r="B171" s="18"/>
      <c r="C171" s="18"/>
      <c r="D171" s="18"/>
      <c r="E171" s="12"/>
      <c r="F171" s="18"/>
      <c r="G171" s="18"/>
      <c r="H171" s="18"/>
      <c r="I171" s="18"/>
      <c r="J171" s="18"/>
      <c r="K171" s="18"/>
      <c r="L171" s="19"/>
      <c r="M171" s="19"/>
      <c r="N171" s="19"/>
      <c r="O171" s="19"/>
      <c r="P171" s="19"/>
      <c r="Q171" s="19"/>
      <c r="R171" s="6" t="str">
        <f aca="false">IF(B171="","",IF(COUNTIF(L171:Q171,"X")=0,"",IF(COUNTIF(L171:Q171,"X")=COUNTA(Model!$B$12:$B$17),"ALL",_xlfn.TEXTJOIN(", ",TRUE(),IF(L171="X",L$4,""),IF(M171="X",M$4,""),IF(N171="X",N$4,""),IF(O171="X",O$4,""),IF(P171="X",P$4,""),IF(Q171="X",Q$4,"")))))</f>
        <v/>
      </c>
      <c r="S171" s="6" t="str">
        <f aca="false">IF(B171="","",IF(B171&gt;B170+1,"Level skips a step",IF(AND(B171&gt;0,OR(H171="",H171&lt;=0)),"Qty missing or 0",IF(AND(J171="Existing",K171=""),"Existing ID missing",IF(AND(B171=Model!$B$8+1,COUNTIF(L171:Q171,"X")=0),"Not in any variant",IF(AND(NOT(B171=Model!$B$8+1),COUNTIF(L171:Q171,"X")&gt;0),"X outside configured item","OK"))))))</f>
        <v/>
      </c>
    </row>
    <row r="172" customFormat="false" ht="15" hidden="false" customHeight="false" outlineLevel="0" collapsed="false">
      <c r="A172" s="17" t="str">
        <f aca="false">IF(B172="","",ROW()-4)</f>
        <v/>
      </c>
      <c r="B172" s="18"/>
      <c r="C172" s="18"/>
      <c r="D172" s="18"/>
      <c r="E172" s="12"/>
      <c r="F172" s="18"/>
      <c r="G172" s="18"/>
      <c r="H172" s="18"/>
      <c r="I172" s="18"/>
      <c r="J172" s="18"/>
      <c r="K172" s="18"/>
      <c r="L172" s="19"/>
      <c r="M172" s="19"/>
      <c r="N172" s="19"/>
      <c r="O172" s="19"/>
      <c r="P172" s="19"/>
      <c r="Q172" s="19"/>
      <c r="R172" s="6" t="str">
        <f aca="false">IF(B172="","",IF(COUNTIF(L172:Q172,"X")=0,"",IF(COUNTIF(L172:Q172,"X")=COUNTA(Model!$B$12:$B$17),"ALL",_xlfn.TEXTJOIN(", ",TRUE(),IF(L172="X",L$4,""),IF(M172="X",M$4,""),IF(N172="X",N$4,""),IF(O172="X",O$4,""),IF(P172="X",P$4,""),IF(Q172="X",Q$4,"")))))</f>
        <v/>
      </c>
      <c r="S172" s="6" t="str">
        <f aca="false">IF(B172="","",IF(B172&gt;B171+1,"Level skips a step",IF(AND(B172&gt;0,OR(H172="",H172&lt;=0)),"Qty missing or 0",IF(AND(J172="Existing",K172=""),"Existing ID missing",IF(AND(B172=Model!$B$8+1,COUNTIF(L172:Q172,"X")=0),"Not in any variant",IF(AND(NOT(B172=Model!$B$8+1),COUNTIF(L172:Q172,"X")&gt;0),"X outside configured item","OK"))))))</f>
        <v/>
      </c>
    </row>
    <row r="173" customFormat="false" ht="15" hidden="false" customHeight="false" outlineLevel="0" collapsed="false">
      <c r="A173" s="17" t="str">
        <f aca="false">IF(B173="","",ROW()-4)</f>
        <v/>
      </c>
      <c r="B173" s="18"/>
      <c r="C173" s="18"/>
      <c r="D173" s="18"/>
      <c r="E173" s="12"/>
      <c r="F173" s="18"/>
      <c r="G173" s="18"/>
      <c r="H173" s="18"/>
      <c r="I173" s="18"/>
      <c r="J173" s="18"/>
      <c r="K173" s="18"/>
      <c r="L173" s="19"/>
      <c r="M173" s="19"/>
      <c r="N173" s="19"/>
      <c r="O173" s="19"/>
      <c r="P173" s="19"/>
      <c r="Q173" s="19"/>
      <c r="R173" s="6" t="str">
        <f aca="false">IF(B173="","",IF(COUNTIF(L173:Q173,"X")=0,"",IF(COUNTIF(L173:Q173,"X")=COUNTA(Model!$B$12:$B$17),"ALL",_xlfn.TEXTJOIN(", ",TRUE(),IF(L173="X",L$4,""),IF(M173="X",M$4,""),IF(N173="X",N$4,""),IF(O173="X",O$4,""),IF(P173="X",P$4,""),IF(Q173="X",Q$4,"")))))</f>
        <v/>
      </c>
      <c r="S173" s="6" t="str">
        <f aca="false">IF(B173="","",IF(B173&gt;B172+1,"Level skips a step",IF(AND(B173&gt;0,OR(H173="",H173&lt;=0)),"Qty missing or 0",IF(AND(J173="Existing",K173=""),"Existing ID missing",IF(AND(B173=Model!$B$8+1,COUNTIF(L173:Q173,"X")=0),"Not in any variant",IF(AND(NOT(B173=Model!$B$8+1),COUNTIF(L173:Q173,"X")&gt;0),"X outside configured item","OK"))))))</f>
        <v/>
      </c>
    </row>
    <row r="174" customFormat="false" ht="15" hidden="false" customHeight="false" outlineLevel="0" collapsed="false">
      <c r="A174" s="17" t="str">
        <f aca="false">IF(B174="","",ROW()-4)</f>
        <v/>
      </c>
      <c r="B174" s="18"/>
      <c r="C174" s="18"/>
      <c r="D174" s="18"/>
      <c r="E174" s="12"/>
      <c r="F174" s="18"/>
      <c r="G174" s="18"/>
      <c r="H174" s="18"/>
      <c r="I174" s="18"/>
      <c r="J174" s="18"/>
      <c r="K174" s="18"/>
      <c r="L174" s="19"/>
      <c r="M174" s="19"/>
      <c r="N174" s="19"/>
      <c r="O174" s="19"/>
      <c r="P174" s="19"/>
      <c r="Q174" s="19"/>
      <c r="R174" s="6" t="str">
        <f aca="false">IF(B174="","",IF(COUNTIF(L174:Q174,"X")=0,"",IF(COUNTIF(L174:Q174,"X")=COUNTA(Model!$B$12:$B$17),"ALL",_xlfn.TEXTJOIN(", ",TRUE(),IF(L174="X",L$4,""),IF(M174="X",M$4,""),IF(N174="X",N$4,""),IF(O174="X",O$4,""),IF(P174="X",P$4,""),IF(Q174="X",Q$4,"")))))</f>
        <v/>
      </c>
      <c r="S174" s="6" t="str">
        <f aca="false">IF(B174="","",IF(B174&gt;B173+1,"Level skips a step",IF(AND(B174&gt;0,OR(H174="",H174&lt;=0)),"Qty missing or 0",IF(AND(J174="Existing",K174=""),"Existing ID missing",IF(AND(B174=Model!$B$8+1,COUNTIF(L174:Q174,"X")=0),"Not in any variant",IF(AND(NOT(B174=Model!$B$8+1),COUNTIF(L174:Q174,"X")&gt;0),"X outside configured item","OK"))))))</f>
        <v/>
      </c>
    </row>
    <row r="175" customFormat="false" ht="15" hidden="false" customHeight="false" outlineLevel="0" collapsed="false">
      <c r="A175" s="17" t="str">
        <f aca="false">IF(B175="","",ROW()-4)</f>
        <v/>
      </c>
      <c r="B175" s="18"/>
      <c r="C175" s="18"/>
      <c r="D175" s="18"/>
      <c r="E175" s="12"/>
      <c r="F175" s="18"/>
      <c r="G175" s="18"/>
      <c r="H175" s="18"/>
      <c r="I175" s="18"/>
      <c r="J175" s="18"/>
      <c r="K175" s="18"/>
      <c r="L175" s="19"/>
      <c r="M175" s="19"/>
      <c r="N175" s="19"/>
      <c r="O175" s="19"/>
      <c r="P175" s="19"/>
      <c r="Q175" s="19"/>
      <c r="R175" s="6" t="str">
        <f aca="false">IF(B175="","",IF(COUNTIF(L175:Q175,"X")=0,"",IF(COUNTIF(L175:Q175,"X")=COUNTA(Model!$B$12:$B$17),"ALL",_xlfn.TEXTJOIN(", ",TRUE(),IF(L175="X",L$4,""),IF(M175="X",M$4,""),IF(N175="X",N$4,""),IF(O175="X",O$4,""),IF(P175="X",P$4,""),IF(Q175="X",Q$4,"")))))</f>
        <v/>
      </c>
      <c r="S175" s="6" t="str">
        <f aca="false">IF(B175="","",IF(B175&gt;B174+1,"Level skips a step",IF(AND(B175&gt;0,OR(H175="",H175&lt;=0)),"Qty missing or 0",IF(AND(J175="Existing",K175=""),"Existing ID missing",IF(AND(B175=Model!$B$8+1,COUNTIF(L175:Q175,"X")=0),"Not in any variant",IF(AND(NOT(B175=Model!$B$8+1),COUNTIF(L175:Q175,"X")&gt;0),"X outside configured item","OK"))))))</f>
        <v/>
      </c>
    </row>
    <row r="176" customFormat="false" ht="15" hidden="false" customHeight="false" outlineLevel="0" collapsed="false">
      <c r="A176" s="17" t="str">
        <f aca="false">IF(B176="","",ROW()-4)</f>
        <v/>
      </c>
      <c r="B176" s="18"/>
      <c r="C176" s="18"/>
      <c r="D176" s="18"/>
      <c r="E176" s="12"/>
      <c r="F176" s="18"/>
      <c r="G176" s="18"/>
      <c r="H176" s="18"/>
      <c r="I176" s="18"/>
      <c r="J176" s="18"/>
      <c r="K176" s="18"/>
      <c r="L176" s="19"/>
      <c r="M176" s="19"/>
      <c r="N176" s="19"/>
      <c r="O176" s="19"/>
      <c r="P176" s="19"/>
      <c r="Q176" s="19"/>
      <c r="R176" s="6" t="str">
        <f aca="false">IF(B176="","",IF(COUNTIF(L176:Q176,"X")=0,"",IF(COUNTIF(L176:Q176,"X")=COUNTA(Model!$B$12:$B$17),"ALL",_xlfn.TEXTJOIN(", ",TRUE(),IF(L176="X",L$4,""),IF(M176="X",M$4,""),IF(N176="X",N$4,""),IF(O176="X",O$4,""),IF(P176="X",P$4,""),IF(Q176="X",Q$4,"")))))</f>
        <v/>
      </c>
      <c r="S176" s="6" t="str">
        <f aca="false">IF(B176="","",IF(B176&gt;B175+1,"Level skips a step",IF(AND(B176&gt;0,OR(H176="",H176&lt;=0)),"Qty missing or 0",IF(AND(J176="Existing",K176=""),"Existing ID missing",IF(AND(B176=Model!$B$8+1,COUNTIF(L176:Q176,"X")=0),"Not in any variant",IF(AND(NOT(B176=Model!$B$8+1),COUNTIF(L176:Q176,"X")&gt;0),"X outside configured item","OK"))))))</f>
        <v/>
      </c>
    </row>
    <row r="177" customFormat="false" ht="15" hidden="false" customHeight="false" outlineLevel="0" collapsed="false">
      <c r="A177" s="17" t="str">
        <f aca="false">IF(B177="","",ROW()-4)</f>
        <v/>
      </c>
      <c r="B177" s="18"/>
      <c r="C177" s="18"/>
      <c r="D177" s="18"/>
      <c r="E177" s="12"/>
      <c r="F177" s="18"/>
      <c r="G177" s="18"/>
      <c r="H177" s="18"/>
      <c r="I177" s="18"/>
      <c r="J177" s="18"/>
      <c r="K177" s="18"/>
      <c r="L177" s="19"/>
      <c r="M177" s="19"/>
      <c r="N177" s="19"/>
      <c r="O177" s="19"/>
      <c r="P177" s="19"/>
      <c r="Q177" s="19"/>
      <c r="R177" s="6" t="str">
        <f aca="false">IF(B177="","",IF(COUNTIF(L177:Q177,"X")=0,"",IF(COUNTIF(L177:Q177,"X")=COUNTA(Model!$B$12:$B$17),"ALL",_xlfn.TEXTJOIN(", ",TRUE(),IF(L177="X",L$4,""),IF(M177="X",M$4,""),IF(N177="X",N$4,""),IF(O177="X",O$4,""),IF(P177="X",P$4,""),IF(Q177="X",Q$4,"")))))</f>
        <v/>
      </c>
      <c r="S177" s="6" t="str">
        <f aca="false">IF(B177="","",IF(B177&gt;B176+1,"Level skips a step",IF(AND(B177&gt;0,OR(H177="",H177&lt;=0)),"Qty missing or 0",IF(AND(J177="Existing",K177=""),"Existing ID missing",IF(AND(B177=Model!$B$8+1,COUNTIF(L177:Q177,"X")=0),"Not in any variant",IF(AND(NOT(B177=Model!$B$8+1),COUNTIF(L177:Q177,"X")&gt;0),"X outside configured item","OK"))))))</f>
        <v/>
      </c>
    </row>
    <row r="178" customFormat="false" ht="15" hidden="false" customHeight="false" outlineLevel="0" collapsed="false">
      <c r="A178" s="17" t="str">
        <f aca="false">IF(B178="","",ROW()-4)</f>
        <v/>
      </c>
      <c r="B178" s="18"/>
      <c r="C178" s="18"/>
      <c r="D178" s="18"/>
      <c r="E178" s="12"/>
      <c r="F178" s="18"/>
      <c r="G178" s="18"/>
      <c r="H178" s="18"/>
      <c r="I178" s="18"/>
      <c r="J178" s="18"/>
      <c r="K178" s="18"/>
      <c r="L178" s="19"/>
      <c r="M178" s="19"/>
      <c r="N178" s="19"/>
      <c r="O178" s="19"/>
      <c r="P178" s="19"/>
      <c r="Q178" s="19"/>
      <c r="R178" s="6" t="str">
        <f aca="false">IF(B178="","",IF(COUNTIF(L178:Q178,"X")=0,"",IF(COUNTIF(L178:Q178,"X")=COUNTA(Model!$B$12:$B$17),"ALL",_xlfn.TEXTJOIN(", ",TRUE(),IF(L178="X",L$4,""),IF(M178="X",M$4,""),IF(N178="X",N$4,""),IF(O178="X",O$4,""),IF(P178="X",P$4,""),IF(Q178="X",Q$4,"")))))</f>
        <v/>
      </c>
      <c r="S178" s="6" t="str">
        <f aca="false">IF(B178="","",IF(B178&gt;B177+1,"Level skips a step",IF(AND(B178&gt;0,OR(H178="",H178&lt;=0)),"Qty missing or 0",IF(AND(J178="Existing",K178=""),"Existing ID missing",IF(AND(B178=Model!$B$8+1,COUNTIF(L178:Q178,"X")=0),"Not in any variant",IF(AND(NOT(B178=Model!$B$8+1),COUNTIF(L178:Q178,"X")&gt;0),"X outside configured item","OK"))))))</f>
        <v/>
      </c>
    </row>
    <row r="179" customFormat="false" ht="15" hidden="false" customHeight="false" outlineLevel="0" collapsed="false">
      <c r="A179" s="17" t="str">
        <f aca="false">IF(B179="","",ROW()-4)</f>
        <v/>
      </c>
      <c r="B179" s="18"/>
      <c r="C179" s="18"/>
      <c r="D179" s="18"/>
      <c r="E179" s="12"/>
      <c r="F179" s="18"/>
      <c r="G179" s="18"/>
      <c r="H179" s="18"/>
      <c r="I179" s="18"/>
      <c r="J179" s="18"/>
      <c r="K179" s="18"/>
      <c r="L179" s="19"/>
      <c r="M179" s="19"/>
      <c r="N179" s="19"/>
      <c r="O179" s="19"/>
      <c r="P179" s="19"/>
      <c r="Q179" s="19"/>
      <c r="R179" s="6" t="str">
        <f aca="false">IF(B179="","",IF(COUNTIF(L179:Q179,"X")=0,"",IF(COUNTIF(L179:Q179,"X")=COUNTA(Model!$B$12:$B$17),"ALL",_xlfn.TEXTJOIN(", ",TRUE(),IF(L179="X",L$4,""),IF(M179="X",M$4,""),IF(N179="X",N$4,""),IF(O179="X",O$4,""),IF(P179="X",P$4,""),IF(Q179="X",Q$4,"")))))</f>
        <v/>
      </c>
      <c r="S179" s="6" t="str">
        <f aca="false">IF(B179="","",IF(B179&gt;B178+1,"Level skips a step",IF(AND(B179&gt;0,OR(H179="",H179&lt;=0)),"Qty missing or 0",IF(AND(J179="Existing",K179=""),"Existing ID missing",IF(AND(B179=Model!$B$8+1,COUNTIF(L179:Q179,"X")=0),"Not in any variant",IF(AND(NOT(B179=Model!$B$8+1),COUNTIF(L179:Q179,"X")&gt;0),"X outside configured item","OK"))))))</f>
        <v/>
      </c>
    </row>
    <row r="180" customFormat="false" ht="15" hidden="false" customHeight="false" outlineLevel="0" collapsed="false">
      <c r="A180" s="17" t="str">
        <f aca="false">IF(B180="","",ROW()-4)</f>
        <v/>
      </c>
      <c r="B180" s="18"/>
      <c r="C180" s="18"/>
      <c r="D180" s="18"/>
      <c r="E180" s="12"/>
      <c r="F180" s="18"/>
      <c r="G180" s="18"/>
      <c r="H180" s="18"/>
      <c r="I180" s="18"/>
      <c r="J180" s="18"/>
      <c r="K180" s="18"/>
      <c r="L180" s="19"/>
      <c r="M180" s="19"/>
      <c r="N180" s="19"/>
      <c r="O180" s="19"/>
      <c r="P180" s="19"/>
      <c r="Q180" s="19"/>
      <c r="R180" s="6" t="str">
        <f aca="false">IF(B180="","",IF(COUNTIF(L180:Q180,"X")=0,"",IF(COUNTIF(L180:Q180,"X")=COUNTA(Model!$B$12:$B$17),"ALL",_xlfn.TEXTJOIN(", ",TRUE(),IF(L180="X",L$4,""),IF(M180="X",M$4,""),IF(N180="X",N$4,""),IF(O180="X",O$4,""),IF(P180="X",P$4,""),IF(Q180="X",Q$4,"")))))</f>
        <v/>
      </c>
      <c r="S180" s="6" t="str">
        <f aca="false">IF(B180="","",IF(B180&gt;B179+1,"Level skips a step",IF(AND(B180&gt;0,OR(H180="",H180&lt;=0)),"Qty missing or 0",IF(AND(J180="Existing",K180=""),"Existing ID missing",IF(AND(B180=Model!$B$8+1,COUNTIF(L180:Q180,"X")=0),"Not in any variant",IF(AND(NOT(B180=Model!$B$8+1),COUNTIF(L180:Q180,"X")&gt;0),"X outside configured item","OK"))))))</f>
        <v/>
      </c>
    </row>
    <row r="181" customFormat="false" ht="15" hidden="false" customHeight="false" outlineLevel="0" collapsed="false">
      <c r="A181" s="17" t="str">
        <f aca="false">IF(B181="","",ROW()-4)</f>
        <v/>
      </c>
      <c r="B181" s="18"/>
      <c r="C181" s="18"/>
      <c r="D181" s="18"/>
      <c r="E181" s="12"/>
      <c r="F181" s="18"/>
      <c r="G181" s="18"/>
      <c r="H181" s="18"/>
      <c r="I181" s="18"/>
      <c r="J181" s="18"/>
      <c r="K181" s="18"/>
      <c r="L181" s="19"/>
      <c r="M181" s="19"/>
      <c r="N181" s="19"/>
      <c r="O181" s="19"/>
      <c r="P181" s="19"/>
      <c r="Q181" s="19"/>
      <c r="R181" s="6" t="str">
        <f aca="false">IF(B181="","",IF(COUNTIF(L181:Q181,"X")=0,"",IF(COUNTIF(L181:Q181,"X")=COUNTA(Model!$B$12:$B$17),"ALL",_xlfn.TEXTJOIN(", ",TRUE(),IF(L181="X",L$4,""),IF(M181="X",M$4,""),IF(N181="X",N$4,""),IF(O181="X",O$4,""),IF(P181="X",P$4,""),IF(Q181="X",Q$4,"")))))</f>
        <v/>
      </c>
      <c r="S181" s="6" t="str">
        <f aca="false">IF(B181="","",IF(B181&gt;B180+1,"Level skips a step",IF(AND(B181&gt;0,OR(H181="",H181&lt;=0)),"Qty missing or 0",IF(AND(J181="Existing",K181=""),"Existing ID missing",IF(AND(B181=Model!$B$8+1,COUNTIF(L181:Q181,"X")=0),"Not in any variant",IF(AND(NOT(B181=Model!$B$8+1),COUNTIF(L181:Q181,"X")&gt;0),"X outside configured item","OK"))))))</f>
        <v/>
      </c>
    </row>
    <row r="182" customFormat="false" ht="15" hidden="false" customHeight="false" outlineLevel="0" collapsed="false">
      <c r="A182" s="17" t="str">
        <f aca="false">IF(B182="","",ROW()-4)</f>
        <v/>
      </c>
      <c r="B182" s="18"/>
      <c r="C182" s="18"/>
      <c r="D182" s="18"/>
      <c r="E182" s="12"/>
      <c r="F182" s="18"/>
      <c r="G182" s="18"/>
      <c r="H182" s="18"/>
      <c r="I182" s="18"/>
      <c r="J182" s="18"/>
      <c r="K182" s="18"/>
      <c r="L182" s="19"/>
      <c r="M182" s="19"/>
      <c r="N182" s="19"/>
      <c r="O182" s="19"/>
      <c r="P182" s="19"/>
      <c r="Q182" s="19"/>
      <c r="R182" s="6" t="str">
        <f aca="false">IF(B182="","",IF(COUNTIF(L182:Q182,"X")=0,"",IF(COUNTIF(L182:Q182,"X")=COUNTA(Model!$B$12:$B$17),"ALL",_xlfn.TEXTJOIN(", ",TRUE(),IF(L182="X",L$4,""),IF(M182="X",M$4,""),IF(N182="X",N$4,""),IF(O182="X",O$4,""),IF(P182="X",P$4,""),IF(Q182="X",Q$4,"")))))</f>
        <v/>
      </c>
      <c r="S182" s="6" t="str">
        <f aca="false">IF(B182="","",IF(B182&gt;B181+1,"Level skips a step",IF(AND(B182&gt;0,OR(H182="",H182&lt;=0)),"Qty missing or 0",IF(AND(J182="Existing",K182=""),"Existing ID missing",IF(AND(B182=Model!$B$8+1,COUNTIF(L182:Q182,"X")=0),"Not in any variant",IF(AND(NOT(B182=Model!$B$8+1),COUNTIF(L182:Q182,"X")&gt;0),"X outside configured item","OK"))))))</f>
        <v/>
      </c>
    </row>
    <row r="183" customFormat="false" ht="15" hidden="false" customHeight="false" outlineLevel="0" collapsed="false">
      <c r="A183" s="17" t="str">
        <f aca="false">IF(B183="","",ROW()-4)</f>
        <v/>
      </c>
      <c r="B183" s="18"/>
      <c r="C183" s="18"/>
      <c r="D183" s="18"/>
      <c r="E183" s="12"/>
      <c r="F183" s="18"/>
      <c r="G183" s="18"/>
      <c r="H183" s="18"/>
      <c r="I183" s="18"/>
      <c r="J183" s="18"/>
      <c r="K183" s="18"/>
      <c r="L183" s="19"/>
      <c r="M183" s="19"/>
      <c r="N183" s="19"/>
      <c r="O183" s="19"/>
      <c r="P183" s="19"/>
      <c r="Q183" s="19"/>
      <c r="R183" s="6" t="str">
        <f aca="false">IF(B183="","",IF(COUNTIF(L183:Q183,"X")=0,"",IF(COUNTIF(L183:Q183,"X")=COUNTA(Model!$B$12:$B$17),"ALL",_xlfn.TEXTJOIN(", ",TRUE(),IF(L183="X",L$4,""),IF(M183="X",M$4,""),IF(N183="X",N$4,""),IF(O183="X",O$4,""),IF(P183="X",P$4,""),IF(Q183="X",Q$4,"")))))</f>
        <v/>
      </c>
      <c r="S183" s="6" t="str">
        <f aca="false">IF(B183="","",IF(B183&gt;B182+1,"Level skips a step",IF(AND(B183&gt;0,OR(H183="",H183&lt;=0)),"Qty missing or 0",IF(AND(J183="Existing",K183=""),"Existing ID missing",IF(AND(B183=Model!$B$8+1,COUNTIF(L183:Q183,"X")=0),"Not in any variant",IF(AND(NOT(B183=Model!$B$8+1),COUNTIF(L183:Q183,"X")&gt;0),"X outside configured item","OK"))))))</f>
        <v/>
      </c>
    </row>
    <row r="184" customFormat="false" ht="15" hidden="false" customHeight="false" outlineLevel="0" collapsed="false">
      <c r="A184" s="17" t="str">
        <f aca="false">IF(B184="","",ROW()-4)</f>
        <v/>
      </c>
      <c r="B184" s="18"/>
      <c r="C184" s="18"/>
      <c r="D184" s="18"/>
      <c r="E184" s="12"/>
      <c r="F184" s="18"/>
      <c r="G184" s="18"/>
      <c r="H184" s="18"/>
      <c r="I184" s="18"/>
      <c r="J184" s="18"/>
      <c r="K184" s="18"/>
      <c r="L184" s="19"/>
      <c r="M184" s="19"/>
      <c r="N184" s="19"/>
      <c r="O184" s="19"/>
      <c r="P184" s="19"/>
      <c r="Q184" s="19"/>
      <c r="R184" s="6" t="str">
        <f aca="false">IF(B184="","",IF(COUNTIF(L184:Q184,"X")=0,"",IF(COUNTIF(L184:Q184,"X")=COUNTA(Model!$B$12:$B$17),"ALL",_xlfn.TEXTJOIN(", ",TRUE(),IF(L184="X",L$4,""),IF(M184="X",M$4,""),IF(N184="X",N$4,""),IF(O184="X",O$4,""),IF(P184="X",P$4,""),IF(Q184="X",Q$4,"")))))</f>
        <v/>
      </c>
      <c r="S184" s="6" t="str">
        <f aca="false">IF(B184="","",IF(B184&gt;B183+1,"Level skips a step",IF(AND(B184&gt;0,OR(H184="",H184&lt;=0)),"Qty missing or 0",IF(AND(J184="Existing",K184=""),"Existing ID missing",IF(AND(B184=Model!$B$8+1,COUNTIF(L184:Q184,"X")=0),"Not in any variant",IF(AND(NOT(B184=Model!$B$8+1),COUNTIF(L184:Q184,"X")&gt;0),"X outside configured item","OK"))))))</f>
        <v/>
      </c>
    </row>
    <row r="185" customFormat="false" ht="15" hidden="false" customHeight="false" outlineLevel="0" collapsed="false">
      <c r="A185" s="17" t="str">
        <f aca="false">IF(B185="","",ROW()-4)</f>
        <v/>
      </c>
      <c r="B185" s="18"/>
      <c r="C185" s="18"/>
      <c r="D185" s="18"/>
      <c r="E185" s="12"/>
      <c r="F185" s="18"/>
      <c r="G185" s="18"/>
      <c r="H185" s="18"/>
      <c r="I185" s="18"/>
      <c r="J185" s="18"/>
      <c r="K185" s="18"/>
      <c r="L185" s="19"/>
      <c r="M185" s="19"/>
      <c r="N185" s="19"/>
      <c r="O185" s="19"/>
      <c r="P185" s="19"/>
      <c r="Q185" s="19"/>
      <c r="R185" s="6" t="str">
        <f aca="false">IF(B185="","",IF(COUNTIF(L185:Q185,"X")=0,"",IF(COUNTIF(L185:Q185,"X")=COUNTA(Model!$B$12:$B$17),"ALL",_xlfn.TEXTJOIN(", ",TRUE(),IF(L185="X",L$4,""),IF(M185="X",M$4,""),IF(N185="X",N$4,""),IF(O185="X",O$4,""),IF(P185="X",P$4,""),IF(Q185="X",Q$4,"")))))</f>
        <v/>
      </c>
      <c r="S185" s="6" t="str">
        <f aca="false">IF(B185="","",IF(B185&gt;B184+1,"Level skips a step",IF(AND(B185&gt;0,OR(H185="",H185&lt;=0)),"Qty missing or 0",IF(AND(J185="Existing",K185=""),"Existing ID missing",IF(AND(B185=Model!$B$8+1,COUNTIF(L185:Q185,"X")=0),"Not in any variant",IF(AND(NOT(B185=Model!$B$8+1),COUNTIF(L185:Q185,"X")&gt;0),"X outside configured item","OK"))))))</f>
        <v/>
      </c>
    </row>
    <row r="186" customFormat="false" ht="15" hidden="false" customHeight="false" outlineLevel="0" collapsed="false">
      <c r="A186" s="17" t="str">
        <f aca="false">IF(B186="","",ROW()-4)</f>
        <v/>
      </c>
      <c r="B186" s="18"/>
      <c r="C186" s="18"/>
      <c r="D186" s="18"/>
      <c r="E186" s="12"/>
      <c r="F186" s="18"/>
      <c r="G186" s="18"/>
      <c r="H186" s="18"/>
      <c r="I186" s="18"/>
      <c r="J186" s="18"/>
      <c r="K186" s="18"/>
      <c r="L186" s="19"/>
      <c r="M186" s="19"/>
      <c r="N186" s="19"/>
      <c r="O186" s="19"/>
      <c r="P186" s="19"/>
      <c r="Q186" s="19"/>
      <c r="R186" s="6" t="str">
        <f aca="false">IF(B186="","",IF(COUNTIF(L186:Q186,"X")=0,"",IF(COUNTIF(L186:Q186,"X")=COUNTA(Model!$B$12:$B$17),"ALL",_xlfn.TEXTJOIN(", ",TRUE(),IF(L186="X",L$4,""),IF(M186="X",M$4,""),IF(N186="X",N$4,""),IF(O186="X",O$4,""),IF(P186="X",P$4,""),IF(Q186="X",Q$4,"")))))</f>
        <v/>
      </c>
      <c r="S186" s="6" t="str">
        <f aca="false">IF(B186="","",IF(B186&gt;B185+1,"Level skips a step",IF(AND(B186&gt;0,OR(H186="",H186&lt;=0)),"Qty missing or 0",IF(AND(J186="Existing",K186=""),"Existing ID missing",IF(AND(B186=Model!$B$8+1,COUNTIF(L186:Q186,"X")=0),"Not in any variant",IF(AND(NOT(B186=Model!$B$8+1),COUNTIF(L186:Q186,"X")&gt;0),"X outside configured item","OK"))))))</f>
        <v/>
      </c>
    </row>
    <row r="187" customFormat="false" ht="15" hidden="false" customHeight="false" outlineLevel="0" collapsed="false">
      <c r="A187" s="17" t="str">
        <f aca="false">IF(B187="","",ROW()-4)</f>
        <v/>
      </c>
      <c r="B187" s="18"/>
      <c r="C187" s="18"/>
      <c r="D187" s="18"/>
      <c r="E187" s="12"/>
      <c r="F187" s="18"/>
      <c r="G187" s="18"/>
      <c r="H187" s="18"/>
      <c r="I187" s="18"/>
      <c r="J187" s="18"/>
      <c r="K187" s="18"/>
      <c r="L187" s="19"/>
      <c r="M187" s="19"/>
      <c r="N187" s="19"/>
      <c r="O187" s="19"/>
      <c r="P187" s="19"/>
      <c r="Q187" s="19"/>
      <c r="R187" s="6" t="str">
        <f aca="false">IF(B187="","",IF(COUNTIF(L187:Q187,"X")=0,"",IF(COUNTIF(L187:Q187,"X")=COUNTA(Model!$B$12:$B$17),"ALL",_xlfn.TEXTJOIN(", ",TRUE(),IF(L187="X",L$4,""),IF(M187="X",M$4,""),IF(N187="X",N$4,""),IF(O187="X",O$4,""),IF(P187="X",P$4,""),IF(Q187="X",Q$4,"")))))</f>
        <v/>
      </c>
      <c r="S187" s="6" t="str">
        <f aca="false">IF(B187="","",IF(B187&gt;B186+1,"Level skips a step",IF(AND(B187&gt;0,OR(H187="",H187&lt;=0)),"Qty missing or 0",IF(AND(J187="Existing",K187=""),"Existing ID missing",IF(AND(B187=Model!$B$8+1,COUNTIF(L187:Q187,"X")=0),"Not in any variant",IF(AND(NOT(B187=Model!$B$8+1),COUNTIF(L187:Q187,"X")&gt;0),"X outside configured item","OK"))))))</f>
        <v/>
      </c>
    </row>
    <row r="188" customFormat="false" ht="15" hidden="false" customHeight="false" outlineLevel="0" collapsed="false">
      <c r="A188" s="17" t="str">
        <f aca="false">IF(B188="","",ROW()-4)</f>
        <v/>
      </c>
      <c r="B188" s="18"/>
      <c r="C188" s="18"/>
      <c r="D188" s="18"/>
      <c r="E188" s="12"/>
      <c r="F188" s="18"/>
      <c r="G188" s="18"/>
      <c r="H188" s="18"/>
      <c r="I188" s="18"/>
      <c r="J188" s="18"/>
      <c r="K188" s="18"/>
      <c r="L188" s="19"/>
      <c r="M188" s="19"/>
      <c r="N188" s="19"/>
      <c r="O188" s="19"/>
      <c r="P188" s="19"/>
      <c r="Q188" s="19"/>
      <c r="R188" s="6" t="str">
        <f aca="false">IF(B188="","",IF(COUNTIF(L188:Q188,"X")=0,"",IF(COUNTIF(L188:Q188,"X")=COUNTA(Model!$B$12:$B$17),"ALL",_xlfn.TEXTJOIN(", ",TRUE(),IF(L188="X",L$4,""),IF(M188="X",M$4,""),IF(N188="X",N$4,""),IF(O188="X",O$4,""),IF(P188="X",P$4,""),IF(Q188="X",Q$4,"")))))</f>
        <v/>
      </c>
      <c r="S188" s="6" t="str">
        <f aca="false">IF(B188="","",IF(B188&gt;B187+1,"Level skips a step",IF(AND(B188&gt;0,OR(H188="",H188&lt;=0)),"Qty missing or 0",IF(AND(J188="Existing",K188=""),"Existing ID missing",IF(AND(B188=Model!$B$8+1,COUNTIF(L188:Q188,"X")=0),"Not in any variant",IF(AND(NOT(B188=Model!$B$8+1),COUNTIF(L188:Q188,"X")&gt;0),"X outside configured item","OK"))))))</f>
        <v/>
      </c>
    </row>
    <row r="189" customFormat="false" ht="15" hidden="false" customHeight="false" outlineLevel="0" collapsed="false">
      <c r="A189" s="17" t="str">
        <f aca="false">IF(B189="","",ROW()-4)</f>
        <v/>
      </c>
      <c r="B189" s="18"/>
      <c r="C189" s="18"/>
      <c r="D189" s="18"/>
      <c r="E189" s="12"/>
      <c r="F189" s="18"/>
      <c r="G189" s="18"/>
      <c r="H189" s="18"/>
      <c r="I189" s="18"/>
      <c r="J189" s="18"/>
      <c r="K189" s="18"/>
      <c r="L189" s="19"/>
      <c r="M189" s="19"/>
      <c r="N189" s="19"/>
      <c r="O189" s="19"/>
      <c r="P189" s="19"/>
      <c r="Q189" s="19"/>
      <c r="R189" s="6" t="str">
        <f aca="false">IF(B189="","",IF(COUNTIF(L189:Q189,"X")=0,"",IF(COUNTIF(L189:Q189,"X")=COUNTA(Model!$B$12:$B$17),"ALL",_xlfn.TEXTJOIN(", ",TRUE(),IF(L189="X",L$4,""),IF(M189="X",M$4,""),IF(N189="X",N$4,""),IF(O189="X",O$4,""),IF(P189="X",P$4,""),IF(Q189="X",Q$4,"")))))</f>
        <v/>
      </c>
      <c r="S189" s="6" t="str">
        <f aca="false">IF(B189="","",IF(B189&gt;B188+1,"Level skips a step",IF(AND(B189&gt;0,OR(H189="",H189&lt;=0)),"Qty missing or 0",IF(AND(J189="Existing",K189=""),"Existing ID missing",IF(AND(B189=Model!$B$8+1,COUNTIF(L189:Q189,"X")=0),"Not in any variant",IF(AND(NOT(B189=Model!$B$8+1),COUNTIF(L189:Q189,"X")&gt;0),"X outside configured item","OK"))))))</f>
        <v/>
      </c>
    </row>
    <row r="190" customFormat="false" ht="15" hidden="false" customHeight="false" outlineLevel="0" collapsed="false">
      <c r="A190" s="17" t="str">
        <f aca="false">IF(B190="","",ROW()-4)</f>
        <v/>
      </c>
      <c r="B190" s="18"/>
      <c r="C190" s="18"/>
      <c r="D190" s="18"/>
      <c r="E190" s="12"/>
      <c r="F190" s="18"/>
      <c r="G190" s="18"/>
      <c r="H190" s="18"/>
      <c r="I190" s="18"/>
      <c r="J190" s="18"/>
      <c r="K190" s="18"/>
      <c r="L190" s="19"/>
      <c r="M190" s="19"/>
      <c r="N190" s="19"/>
      <c r="O190" s="19"/>
      <c r="P190" s="19"/>
      <c r="Q190" s="19"/>
      <c r="R190" s="6" t="str">
        <f aca="false">IF(B190="","",IF(COUNTIF(L190:Q190,"X")=0,"",IF(COUNTIF(L190:Q190,"X")=COUNTA(Model!$B$12:$B$17),"ALL",_xlfn.TEXTJOIN(", ",TRUE(),IF(L190="X",L$4,""),IF(M190="X",M$4,""),IF(N190="X",N$4,""),IF(O190="X",O$4,""),IF(P190="X",P$4,""),IF(Q190="X",Q$4,"")))))</f>
        <v/>
      </c>
      <c r="S190" s="6" t="str">
        <f aca="false">IF(B190="","",IF(B190&gt;B189+1,"Level skips a step",IF(AND(B190&gt;0,OR(H190="",H190&lt;=0)),"Qty missing or 0",IF(AND(J190="Existing",K190=""),"Existing ID missing",IF(AND(B190=Model!$B$8+1,COUNTIF(L190:Q190,"X")=0),"Not in any variant",IF(AND(NOT(B190=Model!$B$8+1),COUNTIF(L190:Q190,"X")&gt;0),"X outside configured item","OK"))))))</f>
        <v/>
      </c>
    </row>
    <row r="191" customFormat="false" ht="15" hidden="false" customHeight="false" outlineLevel="0" collapsed="false">
      <c r="A191" s="17" t="str">
        <f aca="false">IF(B191="","",ROW()-4)</f>
        <v/>
      </c>
      <c r="B191" s="18"/>
      <c r="C191" s="18"/>
      <c r="D191" s="18"/>
      <c r="E191" s="12"/>
      <c r="F191" s="18"/>
      <c r="G191" s="18"/>
      <c r="H191" s="18"/>
      <c r="I191" s="18"/>
      <c r="J191" s="18"/>
      <c r="K191" s="18"/>
      <c r="L191" s="19"/>
      <c r="M191" s="19"/>
      <c r="N191" s="19"/>
      <c r="O191" s="19"/>
      <c r="P191" s="19"/>
      <c r="Q191" s="19"/>
      <c r="R191" s="6" t="str">
        <f aca="false">IF(B191="","",IF(COUNTIF(L191:Q191,"X")=0,"",IF(COUNTIF(L191:Q191,"X")=COUNTA(Model!$B$12:$B$17),"ALL",_xlfn.TEXTJOIN(", ",TRUE(),IF(L191="X",L$4,""),IF(M191="X",M$4,""),IF(N191="X",N$4,""),IF(O191="X",O$4,""),IF(P191="X",P$4,""),IF(Q191="X",Q$4,"")))))</f>
        <v/>
      </c>
      <c r="S191" s="6" t="str">
        <f aca="false">IF(B191="","",IF(B191&gt;B190+1,"Level skips a step",IF(AND(B191&gt;0,OR(H191="",H191&lt;=0)),"Qty missing or 0",IF(AND(J191="Existing",K191=""),"Existing ID missing",IF(AND(B191=Model!$B$8+1,COUNTIF(L191:Q191,"X")=0),"Not in any variant",IF(AND(NOT(B191=Model!$B$8+1),COUNTIF(L191:Q191,"X")&gt;0),"X outside configured item","OK"))))))</f>
        <v/>
      </c>
    </row>
    <row r="192" customFormat="false" ht="15" hidden="false" customHeight="false" outlineLevel="0" collapsed="false">
      <c r="A192" s="17" t="str">
        <f aca="false">IF(B192="","",ROW()-4)</f>
        <v/>
      </c>
      <c r="B192" s="18"/>
      <c r="C192" s="18"/>
      <c r="D192" s="18"/>
      <c r="E192" s="12"/>
      <c r="F192" s="18"/>
      <c r="G192" s="18"/>
      <c r="H192" s="18"/>
      <c r="I192" s="18"/>
      <c r="J192" s="18"/>
      <c r="K192" s="18"/>
      <c r="L192" s="19"/>
      <c r="M192" s="19"/>
      <c r="N192" s="19"/>
      <c r="O192" s="19"/>
      <c r="P192" s="19"/>
      <c r="Q192" s="19"/>
      <c r="R192" s="6" t="str">
        <f aca="false">IF(B192="","",IF(COUNTIF(L192:Q192,"X")=0,"",IF(COUNTIF(L192:Q192,"X")=COUNTA(Model!$B$12:$B$17),"ALL",_xlfn.TEXTJOIN(", ",TRUE(),IF(L192="X",L$4,""),IF(M192="X",M$4,""),IF(N192="X",N$4,""),IF(O192="X",O$4,""),IF(P192="X",P$4,""),IF(Q192="X",Q$4,"")))))</f>
        <v/>
      </c>
      <c r="S192" s="6" t="str">
        <f aca="false">IF(B192="","",IF(B192&gt;B191+1,"Level skips a step",IF(AND(B192&gt;0,OR(H192="",H192&lt;=0)),"Qty missing or 0",IF(AND(J192="Existing",K192=""),"Existing ID missing",IF(AND(B192=Model!$B$8+1,COUNTIF(L192:Q192,"X")=0),"Not in any variant",IF(AND(NOT(B192=Model!$B$8+1),COUNTIF(L192:Q192,"X")&gt;0),"X outside configured item","OK"))))))</f>
        <v/>
      </c>
    </row>
    <row r="193" customFormat="false" ht="15" hidden="false" customHeight="false" outlineLevel="0" collapsed="false">
      <c r="A193" s="17" t="str">
        <f aca="false">IF(B193="","",ROW()-4)</f>
        <v/>
      </c>
      <c r="B193" s="18"/>
      <c r="C193" s="18"/>
      <c r="D193" s="18"/>
      <c r="E193" s="12"/>
      <c r="F193" s="18"/>
      <c r="G193" s="18"/>
      <c r="H193" s="18"/>
      <c r="I193" s="18"/>
      <c r="J193" s="18"/>
      <c r="K193" s="18"/>
      <c r="L193" s="19"/>
      <c r="M193" s="19"/>
      <c r="N193" s="19"/>
      <c r="O193" s="19"/>
      <c r="P193" s="19"/>
      <c r="Q193" s="19"/>
      <c r="R193" s="6" t="str">
        <f aca="false">IF(B193="","",IF(COUNTIF(L193:Q193,"X")=0,"",IF(COUNTIF(L193:Q193,"X")=COUNTA(Model!$B$12:$B$17),"ALL",_xlfn.TEXTJOIN(", ",TRUE(),IF(L193="X",L$4,""),IF(M193="X",M$4,""),IF(N193="X",N$4,""),IF(O193="X",O$4,""),IF(P193="X",P$4,""),IF(Q193="X",Q$4,"")))))</f>
        <v/>
      </c>
      <c r="S193" s="6" t="str">
        <f aca="false">IF(B193="","",IF(B193&gt;B192+1,"Level skips a step",IF(AND(B193&gt;0,OR(H193="",H193&lt;=0)),"Qty missing or 0",IF(AND(J193="Existing",K193=""),"Existing ID missing",IF(AND(B193=Model!$B$8+1,COUNTIF(L193:Q193,"X")=0),"Not in any variant",IF(AND(NOT(B193=Model!$B$8+1),COUNTIF(L193:Q193,"X")&gt;0),"X outside configured item","OK"))))))</f>
        <v/>
      </c>
    </row>
    <row r="194" customFormat="false" ht="15" hidden="false" customHeight="false" outlineLevel="0" collapsed="false">
      <c r="A194" s="17" t="str">
        <f aca="false">IF(B194="","",ROW()-4)</f>
        <v/>
      </c>
      <c r="B194" s="18"/>
      <c r="C194" s="18"/>
      <c r="D194" s="18"/>
      <c r="E194" s="12"/>
      <c r="F194" s="18"/>
      <c r="G194" s="18"/>
      <c r="H194" s="18"/>
      <c r="I194" s="18"/>
      <c r="J194" s="18"/>
      <c r="K194" s="18"/>
      <c r="L194" s="19"/>
      <c r="M194" s="19"/>
      <c r="N194" s="19"/>
      <c r="O194" s="19"/>
      <c r="P194" s="19"/>
      <c r="Q194" s="19"/>
      <c r="R194" s="6" t="str">
        <f aca="false">IF(B194="","",IF(COUNTIF(L194:Q194,"X")=0,"",IF(COUNTIF(L194:Q194,"X")=COUNTA(Model!$B$12:$B$17),"ALL",_xlfn.TEXTJOIN(", ",TRUE(),IF(L194="X",L$4,""),IF(M194="X",M$4,""),IF(N194="X",N$4,""),IF(O194="X",O$4,""),IF(P194="X",P$4,""),IF(Q194="X",Q$4,"")))))</f>
        <v/>
      </c>
      <c r="S194" s="6" t="str">
        <f aca="false">IF(B194="","",IF(B194&gt;B193+1,"Level skips a step",IF(AND(B194&gt;0,OR(H194="",H194&lt;=0)),"Qty missing or 0",IF(AND(J194="Existing",K194=""),"Existing ID missing",IF(AND(B194=Model!$B$8+1,COUNTIF(L194:Q194,"X")=0),"Not in any variant",IF(AND(NOT(B194=Model!$B$8+1),COUNTIF(L194:Q194,"X")&gt;0),"X outside configured item","OK"))))))</f>
        <v/>
      </c>
    </row>
    <row r="195" customFormat="false" ht="15" hidden="false" customHeight="false" outlineLevel="0" collapsed="false">
      <c r="A195" s="17" t="str">
        <f aca="false">IF(B195="","",ROW()-4)</f>
        <v/>
      </c>
      <c r="B195" s="18"/>
      <c r="C195" s="18"/>
      <c r="D195" s="18"/>
      <c r="E195" s="12"/>
      <c r="F195" s="18"/>
      <c r="G195" s="18"/>
      <c r="H195" s="18"/>
      <c r="I195" s="18"/>
      <c r="J195" s="18"/>
      <c r="K195" s="18"/>
      <c r="L195" s="19"/>
      <c r="M195" s="19"/>
      <c r="N195" s="19"/>
      <c r="O195" s="19"/>
      <c r="P195" s="19"/>
      <c r="Q195" s="19"/>
      <c r="R195" s="6" t="str">
        <f aca="false">IF(B195="","",IF(COUNTIF(L195:Q195,"X")=0,"",IF(COUNTIF(L195:Q195,"X")=COUNTA(Model!$B$12:$B$17),"ALL",_xlfn.TEXTJOIN(", ",TRUE(),IF(L195="X",L$4,""),IF(M195="X",M$4,""),IF(N195="X",N$4,""),IF(O195="X",O$4,""),IF(P195="X",P$4,""),IF(Q195="X",Q$4,"")))))</f>
        <v/>
      </c>
      <c r="S195" s="6" t="str">
        <f aca="false">IF(B195="","",IF(B195&gt;B194+1,"Level skips a step",IF(AND(B195&gt;0,OR(H195="",H195&lt;=0)),"Qty missing or 0",IF(AND(J195="Existing",K195=""),"Existing ID missing",IF(AND(B195=Model!$B$8+1,COUNTIF(L195:Q195,"X")=0),"Not in any variant",IF(AND(NOT(B195=Model!$B$8+1),COUNTIF(L195:Q195,"X")&gt;0),"X outside configured item","OK"))))))</f>
        <v/>
      </c>
    </row>
    <row r="196" customFormat="false" ht="15" hidden="false" customHeight="false" outlineLevel="0" collapsed="false">
      <c r="A196" s="17" t="str">
        <f aca="false">IF(B196="","",ROW()-4)</f>
        <v/>
      </c>
      <c r="B196" s="18"/>
      <c r="C196" s="18"/>
      <c r="D196" s="18"/>
      <c r="E196" s="12"/>
      <c r="F196" s="18"/>
      <c r="G196" s="18"/>
      <c r="H196" s="18"/>
      <c r="I196" s="18"/>
      <c r="J196" s="18"/>
      <c r="K196" s="18"/>
      <c r="L196" s="19"/>
      <c r="M196" s="19"/>
      <c r="N196" s="19"/>
      <c r="O196" s="19"/>
      <c r="P196" s="19"/>
      <c r="Q196" s="19"/>
      <c r="R196" s="6" t="str">
        <f aca="false">IF(B196="","",IF(COUNTIF(L196:Q196,"X")=0,"",IF(COUNTIF(L196:Q196,"X")=COUNTA(Model!$B$12:$B$17),"ALL",_xlfn.TEXTJOIN(", ",TRUE(),IF(L196="X",L$4,""),IF(M196="X",M$4,""),IF(N196="X",N$4,""),IF(O196="X",O$4,""),IF(P196="X",P$4,""),IF(Q196="X",Q$4,"")))))</f>
        <v/>
      </c>
      <c r="S196" s="6" t="str">
        <f aca="false">IF(B196="","",IF(B196&gt;B195+1,"Level skips a step",IF(AND(B196&gt;0,OR(H196="",H196&lt;=0)),"Qty missing or 0",IF(AND(J196="Existing",K196=""),"Existing ID missing",IF(AND(B196=Model!$B$8+1,COUNTIF(L196:Q196,"X")=0),"Not in any variant",IF(AND(NOT(B196=Model!$B$8+1),COUNTIF(L196:Q196,"X")&gt;0),"X outside configured item","OK"))))))</f>
        <v/>
      </c>
    </row>
    <row r="197" customFormat="false" ht="15" hidden="false" customHeight="false" outlineLevel="0" collapsed="false">
      <c r="A197" s="17" t="str">
        <f aca="false">IF(B197="","",ROW()-4)</f>
        <v/>
      </c>
      <c r="B197" s="18"/>
      <c r="C197" s="18"/>
      <c r="D197" s="18"/>
      <c r="E197" s="12"/>
      <c r="F197" s="18"/>
      <c r="G197" s="18"/>
      <c r="H197" s="18"/>
      <c r="I197" s="18"/>
      <c r="J197" s="18"/>
      <c r="K197" s="18"/>
      <c r="L197" s="19"/>
      <c r="M197" s="19"/>
      <c r="N197" s="19"/>
      <c r="O197" s="19"/>
      <c r="P197" s="19"/>
      <c r="Q197" s="19"/>
      <c r="R197" s="6" t="str">
        <f aca="false">IF(B197="","",IF(COUNTIF(L197:Q197,"X")=0,"",IF(COUNTIF(L197:Q197,"X")=COUNTA(Model!$B$12:$B$17),"ALL",_xlfn.TEXTJOIN(", ",TRUE(),IF(L197="X",L$4,""),IF(M197="X",M$4,""),IF(N197="X",N$4,""),IF(O197="X",O$4,""),IF(P197="X",P$4,""),IF(Q197="X",Q$4,"")))))</f>
        <v/>
      </c>
      <c r="S197" s="6" t="str">
        <f aca="false">IF(B197="","",IF(B197&gt;B196+1,"Level skips a step",IF(AND(B197&gt;0,OR(H197="",H197&lt;=0)),"Qty missing or 0",IF(AND(J197="Existing",K197=""),"Existing ID missing",IF(AND(B197=Model!$B$8+1,COUNTIF(L197:Q197,"X")=0),"Not in any variant",IF(AND(NOT(B197=Model!$B$8+1),COUNTIF(L197:Q197,"X")&gt;0),"X outside configured item","OK"))))))</f>
        <v/>
      </c>
    </row>
    <row r="198" customFormat="false" ht="15" hidden="false" customHeight="false" outlineLevel="0" collapsed="false">
      <c r="A198" s="17" t="str">
        <f aca="false">IF(B198="","",ROW()-4)</f>
        <v/>
      </c>
      <c r="B198" s="18"/>
      <c r="C198" s="18"/>
      <c r="D198" s="18"/>
      <c r="E198" s="12"/>
      <c r="F198" s="18"/>
      <c r="G198" s="18"/>
      <c r="H198" s="18"/>
      <c r="I198" s="18"/>
      <c r="J198" s="18"/>
      <c r="K198" s="18"/>
      <c r="L198" s="19"/>
      <c r="M198" s="19"/>
      <c r="N198" s="19"/>
      <c r="O198" s="19"/>
      <c r="P198" s="19"/>
      <c r="Q198" s="19"/>
      <c r="R198" s="6" t="str">
        <f aca="false">IF(B198="","",IF(COUNTIF(L198:Q198,"X")=0,"",IF(COUNTIF(L198:Q198,"X")=COUNTA(Model!$B$12:$B$17),"ALL",_xlfn.TEXTJOIN(", ",TRUE(),IF(L198="X",L$4,""),IF(M198="X",M$4,""),IF(N198="X",N$4,""),IF(O198="X",O$4,""),IF(P198="X",P$4,""),IF(Q198="X",Q$4,"")))))</f>
        <v/>
      </c>
      <c r="S198" s="6" t="str">
        <f aca="false">IF(B198="","",IF(B198&gt;B197+1,"Level skips a step",IF(AND(B198&gt;0,OR(H198="",H198&lt;=0)),"Qty missing or 0",IF(AND(J198="Existing",K198=""),"Existing ID missing",IF(AND(B198=Model!$B$8+1,COUNTIF(L198:Q198,"X")=0),"Not in any variant",IF(AND(NOT(B198=Model!$B$8+1),COUNTIF(L198:Q198,"X")&gt;0),"X outside configured item","OK"))))))</f>
        <v/>
      </c>
    </row>
    <row r="199" customFormat="false" ht="15" hidden="false" customHeight="false" outlineLevel="0" collapsed="false">
      <c r="A199" s="17" t="str">
        <f aca="false">IF(B199="","",ROW()-4)</f>
        <v/>
      </c>
      <c r="B199" s="18"/>
      <c r="C199" s="18"/>
      <c r="D199" s="18"/>
      <c r="E199" s="12"/>
      <c r="F199" s="18"/>
      <c r="G199" s="18"/>
      <c r="H199" s="18"/>
      <c r="I199" s="18"/>
      <c r="J199" s="18"/>
      <c r="K199" s="18"/>
      <c r="L199" s="19"/>
      <c r="M199" s="19"/>
      <c r="N199" s="19"/>
      <c r="O199" s="19"/>
      <c r="P199" s="19"/>
      <c r="Q199" s="19"/>
      <c r="R199" s="6" t="str">
        <f aca="false">IF(B199="","",IF(COUNTIF(L199:Q199,"X")=0,"",IF(COUNTIF(L199:Q199,"X")=COUNTA(Model!$B$12:$B$17),"ALL",_xlfn.TEXTJOIN(", ",TRUE(),IF(L199="X",L$4,""),IF(M199="X",M$4,""),IF(N199="X",N$4,""),IF(O199="X",O$4,""),IF(P199="X",P$4,""),IF(Q199="X",Q$4,"")))))</f>
        <v/>
      </c>
      <c r="S199" s="6" t="str">
        <f aca="false">IF(B199="","",IF(B199&gt;B198+1,"Level skips a step",IF(AND(B199&gt;0,OR(H199="",H199&lt;=0)),"Qty missing or 0",IF(AND(J199="Existing",K199=""),"Existing ID missing",IF(AND(B199=Model!$B$8+1,COUNTIF(L199:Q199,"X")=0),"Not in any variant",IF(AND(NOT(B199=Model!$B$8+1),COUNTIF(L199:Q199,"X")&gt;0),"X outside configured item","OK"))))))</f>
        <v/>
      </c>
    </row>
    <row r="200" customFormat="false" ht="15" hidden="false" customHeight="false" outlineLevel="0" collapsed="false">
      <c r="A200" s="17" t="str">
        <f aca="false">IF(B200="","",ROW()-4)</f>
        <v/>
      </c>
      <c r="B200" s="18"/>
      <c r="C200" s="18"/>
      <c r="D200" s="18"/>
      <c r="E200" s="12"/>
      <c r="F200" s="18"/>
      <c r="G200" s="18"/>
      <c r="H200" s="18"/>
      <c r="I200" s="18"/>
      <c r="J200" s="18"/>
      <c r="K200" s="18"/>
      <c r="L200" s="19"/>
      <c r="M200" s="19"/>
      <c r="N200" s="19"/>
      <c r="O200" s="19"/>
      <c r="P200" s="19"/>
      <c r="Q200" s="19"/>
      <c r="R200" s="6" t="str">
        <f aca="false">IF(B200="","",IF(COUNTIF(L200:Q200,"X")=0,"",IF(COUNTIF(L200:Q200,"X")=COUNTA(Model!$B$12:$B$17),"ALL",_xlfn.TEXTJOIN(", ",TRUE(),IF(L200="X",L$4,""),IF(M200="X",M$4,""),IF(N200="X",N$4,""),IF(O200="X",O$4,""),IF(P200="X",P$4,""),IF(Q200="X",Q$4,"")))))</f>
        <v/>
      </c>
      <c r="S200" s="6" t="str">
        <f aca="false">IF(B200="","",IF(B200&gt;B199+1,"Level skips a step",IF(AND(B200&gt;0,OR(H200="",H200&lt;=0)),"Qty missing or 0",IF(AND(J200="Existing",K200=""),"Existing ID missing",IF(AND(B200=Model!$B$8+1,COUNTIF(L200:Q200,"X")=0),"Not in any variant",IF(AND(NOT(B200=Model!$B$8+1),COUNTIF(L200:Q200,"X")&gt;0),"X outside configured item","OK"))))))</f>
        <v/>
      </c>
    </row>
    <row r="201" customFormat="false" ht="15" hidden="false" customHeight="false" outlineLevel="0" collapsed="false">
      <c r="A201" s="17" t="str">
        <f aca="false">IF(B201="","",ROW()-4)</f>
        <v/>
      </c>
      <c r="B201" s="18"/>
      <c r="C201" s="18"/>
      <c r="D201" s="18"/>
      <c r="E201" s="12"/>
      <c r="F201" s="18"/>
      <c r="G201" s="18"/>
      <c r="H201" s="18"/>
      <c r="I201" s="18"/>
      <c r="J201" s="18"/>
      <c r="K201" s="18"/>
      <c r="L201" s="19"/>
      <c r="M201" s="19"/>
      <c r="N201" s="19"/>
      <c r="O201" s="19"/>
      <c r="P201" s="19"/>
      <c r="Q201" s="19"/>
      <c r="R201" s="6" t="str">
        <f aca="false">IF(B201="","",IF(COUNTIF(L201:Q201,"X")=0,"",IF(COUNTIF(L201:Q201,"X")=COUNTA(Model!$B$12:$B$17),"ALL",_xlfn.TEXTJOIN(", ",TRUE(),IF(L201="X",L$4,""),IF(M201="X",M$4,""),IF(N201="X",N$4,""),IF(O201="X",O$4,""),IF(P201="X",P$4,""),IF(Q201="X",Q$4,"")))))</f>
        <v/>
      </c>
      <c r="S201" s="6" t="str">
        <f aca="false">IF(B201="","",IF(B201&gt;B200+1,"Level skips a step",IF(AND(B201&gt;0,OR(H201="",H201&lt;=0)),"Qty missing or 0",IF(AND(J201="Existing",K201=""),"Existing ID missing",IF(AND(B201=Model!$B$8+1,COUNTIF(L201:Q201,"X")=0),"Not in any variant",IF(AND(NOT(B201=Model!$B$8+1),COUNTIF(L201:Q201,"X")&gt;0),"X outside configured item","OK"))))))</f>
        <v/>
      </c>
    </row>
    <row r="202" customFormat="false" ht="15" hidden="false" customHeight="false" outlineLevel="0" collapsed="false">
      <c r="A202" s="17" t="str">
        <f aca="false">IF(B202="","",ROW()-4)</f>
        <v/>
      </c>
      <c r="B202" s="18"/>
      <c r="C202" s="18"/>
      <c r="D202" s="18"/>
      <c r="E202" s="12"/>
      <c r="F202" s="18"/>
      <c r="G202" s="18"/>
      <c r="H202" s="18"/>
      <c r="I202" s="18"/>
      <c r="J202" s="18"/>
      <c r="K202" s="18"/>
      <c r="L202" s="19"/>
      <c r="M202" s="19"/>
      <c r="N202" s="19"/>
      <c r="O202" s="19"/>
      <c r="P202" s="19"/>
      <c r="Q202" s="19"/>
      <c r="R202" s="6" t="str">
        <f aca="false">IF(B202="","",IF(COUNTIF(L202:Q202,"X")=0,"",IF(COUNTIF(L202:Q202,"X")=COUNTA(Model!$B$12:$B$17),"ALL",_xlfn.TEXTJOIN(", ",TRUE(),IF(L202="X",L$4,""),IF(M202="X",M$4,""),IF(N202="X",N$4,""),IF(O202="X",O$4,""),IF(P202="X",P$4,""),IF(Q202="X",Q$4,"")))))</f>
        <v/>
      </c>
      <c r="S202" s="6" t="str">
        <f aca="false">IF(B202="","",IF(B202&gt;B201+1,"Level skips a step",IF(AND(B202&gt;0,OR(H202="",H202&lt;=0)),"Qty missing or 0",IF(AND(J202="Existing",K202=""),"Existing ID missing",IF(AND(B202=Model!$B$8+1,COUNTIF(L202:Q202,"X")=0),"Not in any variant",IF(AND(NOT(B202=Model!$B$8+1),COUNTIF(L202:Q202,"X")&gt;0),"X outside configured item","OK"))))))</f>
        <v/>
      </c>
    </row>
    <row r="203" customFormat="false" ht="15" hidden="false" customHeight="false" outlineLevel="0" collapsed="false">
      <c r="A203" s="17" t="str">
        <f aca="false">IF(B203="","",ROW()-4)</f>
        <v/>
      </c>
      <c r="B203" s="18"/>
      <c r="C203" s="18"/>
      <c r="D203" s="18"/>
      <c r="E203" s="12"/>
      <c r="F203" s="18"/>
      <c r="G203" s="18"/>
      <c r="H203" s="18"/>
      <c r="I203" s="18"/>
      <c r="J203" s="18"/>
      <c r="K203" s="18"/>
      <c r="L203" s="19"/>
      <c r="M203" s="19"/>
      <c r="N203" s="19"/>
      <c r="O203" s="19"/>
      <c r="P203" s="19"/>
      <c r="Q203" s="19"/>
      <c r="R203" s="6" t="str">
        <f aca="false">IF(B203="","",IF(COUNTIF(L203:Q203,"X")=0,"",IF(COUNTIF(L203:Q203,"X")=COUNTA(Model!$B$12:$B$17),"ALL",_xlfn.TEXTJOIN(", ",TRUE(),IF(L203="X",L$4,""),IF(M203="X",M$4,""),IF(N203="X",N$4,""),IF(O203="X",O$4,""),IF(P203="X",P$4,""),IF(Q203="X",Q$4,"")))))</f>
        <v/>
      </c>
      <c r="S203" s="6" t="str">
        <f aca="false">IF(B203="","",IF(B203&gt;B202+1,"Level skips a step",IF(AND(B203&gt;0,OR(H203="",H203&lt;=0)),"Qty missing or 0",IF(AND(J203="Existing",K203=""),"Existing ID missing",IF(AND(B203=Model!$B$8+1,COUNTIF(L203:Q203,"X")=0),"Not in any variant",IF(AND(NOT(B203=Model!$B$8+1),COUNTIF(L203:Q203,"X")&gt;0),"X outside configured item","OK"))))))</f>
        <v/>
      </c>
    </row>
    <row r="204" customFormat="false" ht="15" hidden="false" customHeight="false" outlineLevel="0" collapsed="false">
      <c r="A204" s="17" t="str">
        <f aca="false">IF(B204="","",ROW()-4)</f>
        <v/>
      </c>
      <c r="B204" s="18"/>
      <c r="C204" s="18"/>
      <c r="D204" s="18"/>
      <c r="E204" s="12"/>
      <c r="F204" s="18"/>
      <c r="G204" s="18"/>
      <c r="H204" s="18"/>
      <c r="I204" s="18"/>
      <c r="J204" s="18"/>
      <c r="K204" s="18"/>
      <c r="L204" s="19"/>
      <c r="M204" s="19"/>
      <c r="N204" s="19"/>
      <c r="O204" s="19"/>
      <c r="P204" s="19"/>
      <c r="Q204" s="19"/>
      <c r="R204" s="6" t="str">
        <f aca="false">IF(B204="","",IF(COUNTIF(L204:Q204,"X")=0,"",IF(COUNTIF(L204:Q204,"X")=COUNTA(Model!$B$12:$B$17),"ALL",_xlfn.TEXTJOIN(", ",TRUE(),IF(L204="X",L$4,""),IF(M204="X",M$4,""),IF(N204="X",N$4,""),IF(O204="X",O$4,""),IF(P204="X",P$4,""),IF(Q204="X",Q$4,"")))))</f>
        <v/>
      </c>
      <c r="S204" s="6" t="str">
        <f aca="false">IF(B204="","",IF(B204&gt;B203+1,"Level skips a step",IF(AND(B204&gt;0,OR(H204="",H204&lt;=0)),"Qty missing or 0",IF(AND(J204="Existing",K204=""),"Existing ID missing",IF(AND(B204=Model!$B$8+1,COUNTIF(L204:Q204,"X")=0),"Not in any variant",IF(AND(NOT(B204=Model!$B$8+1),COUNTIF(L204:Q204,"X")&gt;0),"X outside configured item","OK"))))))</f>
        <v/>
      </c>
    </row>
    <row r="205" customFormat="false" ht="15" hidden="false" customHeight="false" outlineLevel="0" collapsed="false">
      <c r="A205" s="17" t="str">
        <f aca="false">IF(B205="","",ROW()-4)</f>
        <v/>
      </c>
      <c r="B205" s="18"/>
      <c r="C205" s="18"/>
      <c r="D205" s="18"/>
      <c r="E205" s="12"/>
      <c r="F205" s="18"/>
      <c r="G205" s="18"/>
      <c r="H205" s="18"/>
      <c r="I205" s="18"/>
      <c r="J205" s="18"/>
      <c r="K205" s="18"/>
      <c r="L205" s="19"/>
      <c r="M205" s="19"/>
      <c r="N205" s="19"/>
      <c r="O205" s="19"/>
      <c r="P205" s="19"/>
      <c r="Q205" s="19"/>
      <c r="R205" s="6" t="str">
        <f aca="false">IF(B205="","",IF(COUNTIF(L205:Q205,"X")=0,"",IF(COUNTIF(L205:Q205,"X")=COUNTA(Model!$B$12:$B$17),"ALL",_xlfn.TEXTJOIN(", ",TRUE(),IF(L205="X",L$4,""),IF(M205="X",M$4,""),IF(N205="X",N$4,""),IF(O205="X",O$4,""),IF(P205="X",P$4,""),IF(Q205="X",Q$4,"")))))</f>
        <v/>
      </c>
      <c r="S205" s="6" t="str">
        <f aca="false">IF(B205="","",IF(B205&gt;B204+1,"Level skips a step",IF(AND(B205&gt;0,OR(H205="",H205&lt;=0)),"Qty missing or 0",IF(AND(J205="Existing",K205=""),"Existing ID missing",IF(AND(B205=Model!$B$8+1,COUNTIF(L205:Q205,"X")=0),"Not in any variant",IF(AND(NOT(B205=Model!$B$8+1),COUNTIF(L205:Q205,"X")&gt;0),"X outside configured item","OK"))))))</f>
        <v/>
      </c>
    </row>
    <row r="206" customFormat="false" ht="15" hidden="false" customHeight="false" outlineLevel="0" collapsed="false">
      <c r="A206" s="17" t="str">
        <f aca="false">IF(B206="","",ROW()-4)</f>
        <v/>
      </c>
      <c r="B206" s="18"/>
      <c r="C206" s="18"/>
      <c r="D206" s="18"/>
      <c r="E206" s="12"/>
      <c r="F206" s="18"/>
      <c r="G206" s="18"/>
      <c r="H206" s="18"/>
      <c r="I206" s="18"/>
      <c r="J206" s="18"/>
      <c r="K206" s="18"/>
      <c r="L206" s="19"/>
      <c r="M206" s="19"/>
      <c r="N206" s="19"/>
      <c r="O206" s="19"/>
      <c r="P206" s="19"/>
      <c r="Q206" s="19"/>
      <c r="R206" s="6" t="str">
        <f aca="false">IF(B206="","",IF(COUNTIF(L206:Q206,"X")=0,"",IF(COUNTIF(L206:Q206,"X")=COUNTA(Model!$B$12:$B$17),"ALL",_xlfn.TEXTJOIN(", ",TRUE(),IF(L206="X",L$4,""),IF(M206="X",M$4,""),IF(N206="X",N$4,""),IF(O206="X",O$4,""),IF(P206="X",P$4,""),IF(Q206="X",Q$4,"")))))</f>
        <v/>
      </c>
      <c r="S206" s="6" t="str">
        <f aca="false">IF(B206="","",IF(B206&gt;B205+1,"Level skips a step",IF(AND(B206&gt;0,OR(H206="",H206&lt;=0)),"Qty missing or 0",IF(AND(J206="Existing",K206=""),"Existing ID missing",IF(AND(B206=Model!$B$8+1,COUNTIF(L206:Q206,"X")=0),"Not in any variant",IF(AND(NOT(B206=Model!$B$8+1),COUNTIF(L206:Q206,"X")&gt;0),"X outside configured item","OK"))))))</f>
        <v/>
      </c>
    </row>
    <row r="207" customFormat="false" ht="15" hidden="false" customHeight="false" outlineLevel="0" collapsed="false">
      <c r="A207" s="17" t="str">
        <f aca="false">IF(B207="","",ROW()-4)</f>
        <v/>
      </c>
      <c r="B207" s="18"/>
      <c r="C207" s="18"/>
      <c r="D207" s="18"/>
      <c r="E207" s="12"/>
      <c r="F207" s="18"/>
      <c r="G207" s="18"/>
      <c r="H207" s="18"/>
      <c r="I207" s="18"/>
      <c r="J207" s="18"/>
      <c r="K207" s="18"/>
      <c r="L207" s="19"/>
      <c r="M207" s="19"/>
      <c r="N207" s="19"/>
      <c r="O207" s="19"/>
      <c r="P207" s="19"/>
      <c r="Q207" s="19"/>
      <c r="R207" s="6" t="str">
        <f aca="false">IF(B207="","",IF(COUNTIF(L207:Q207,"X")=0,"",IF(COUNTIF(L207:Q207,"X")=COUNTA(Model!$B$12:$B$17),"ALL",_xlfn.TEXTJOIN(", ",TRUE(),IF(L207="X",L$4,""),IF(M207="X",M$4,""),IF(N207="X",N$4,""),IF(O207="X",O$4,""),IF(P207="X",P$4,""),IF(Q207="X",Q$4,"")))))</f>
        <v/>
      </c>
      <c r="S207" s="6" t="str">
        <f aca="false">IF(B207="","",IF(B207&gt;B206+1,"Level skips a step",IF(AND(B207&gt;0,OR(H207="",H207&lt;=0)),"Qty missing or 0",IF(AND(J207="Existing",K207=""),"Existing ID missing",IF(AND(B207=Model!$B$8+1,COUNTIF(L207:Q207,"X")=0),"Not in any variant",IF(AND(NOT(B207=Model!$B$8+1),COUNTIF(L207:Q207,"X")&gt;0),"X outside configured item","OK"))))))</f>
        <v/>
      </c>
    </row>
    <row r="208" customFormat="false" ht="15" hidden="false" customHeight="false" outlineLevel="0" collapsed="false">
      <c r="A208" s="17" t="str">
        <f aca="false">IF(B208="","",ROW()-4)</f>
        <v/>
      </c>
      <c r="B208" s="18"/>
      <c r="C208" s="18"/>
      <c r="D208" s="18"/>
      <c r="E208" s="12"/>
      <c r="F208" s="18"/>
      <c r="G208" s="18"/>
      <c r="H208" s="18"/>
      <c r="I208" s="18"/>
      <c r="J208" s="18"/>
      <c r="K208" s="18"/>
      <c r="L208" s="19"/>
      <c r="M208" s="19"/>
      <c r="N208" s="19"/>
      <c r="O208" s="19"/>
      <c r="P208" s="19"/>
      <c r="Q208" s="19"/>
      <c r="R208" s="6" t="str">
        <f aca="false">IF(B208="","",IF(COUNTIF(L208:Q208,"X")=0,"",IF(COUNTIF(L208:Q208,"X")=COUNTA(Model!$B$12:$B$17),"ALL",_xlfn.TEXTJOIN(", ",TRUE(),IF(L208="X",L$4,""),IF(M208="X",M$4,""),IF(N208="X",N$4,""),IF(O208="X",O$4,""),IF(P208="X",P$4,""),IF(Q208="X",Q$4,"")))))</f>
        <v/>
      </c>
      <c r="S208" s="6" t="str">
        <f aca="false">IF(B208="","",IF(B208&gt;B207+1,"Level skips a step",IF(AND(B208&gt;0,OR(H208="",H208&lt;=0)),"Qty missing or 0",IF(AND(J208="Existing",K208=""),"Existing ID missing",IF(AND(B208=Model!$B$8+1,COUNTIF(L208:Q208,"X")=0),"Not in any variant",IF(AND(NOT(B208=Model!$B$8+1),COUNTIF(L208:Q208,"X")&gt;0),"X outside configured item","OK"))))))</f>
        <v/>
      </c>
    </row>
    <row r="209" customFormat="false" ht="15" hidden="false" customHeight="false" outlineLevel="0" collapsed="false">
      <c r="A209" s="17" t="str">
        <f aca="false">IF(B209="","",ROW()-4)</f>
        <v/>
      </c>
      <c r="B209" s="18"/>
      <c r="C209" s="18"/>
      <c r="D209" s="18"/>
      <c r="E209" s="12"/>
      <c r="F209" s="18"/>
      <c r="G209" s="18"/>
      <c r="H209" s="18"/>
      <c r="I209" s="18"/>
      <c r="J209" s="18"/>
      <c r="K209" s="18"/>
      <c r="L209" s="19"/>
      <c r="M209" s="19"/>
      <c r="N209" s="19"/>
      <c r="O209" s="19"/>
      <c r="P209" s="19"/>
      <c r="Q209" s="19"/>
      <c r="R209" s="6" t="str">
        <f aca="false">IF(B209="","",IF(COUNTIF(L209:Q209,"X")=0,"",IF(COUNTIF(L209:Q209,"X")=COUNTA(Model!$B$12:$B$17),"ALL",_xlfn.TEXTJOIN(", ",TRUE(),IF(L209="X",L$4,""),IF(M209="X",M$4,""),IF(N209="X",N$4,""),IF(O209="X",O$4,""),IF(P209="X",P$4,""),IF(Q209="X",Q$4,"")))))</f>
        <v/>
      </c>
      <c r="S209" s="6" t="str">
        <f aca="false">IF(B209="","",IF(B209&gt;B208+1,"Level skips a step",IF(AND(B209&gt;0,OR(H209="",H209&lt;=0)),"Qty missing or 0",IF(AND(J209="Existing",K209=""),"Existing ID missing",IF(AND(B209=Model!$B$8+1,COUNTIF(L209:Q209,"X")=0),"Not in any variant",IF(AND(NOT(B209=Model!$B$8+1),COUNTIF(L209:Q209,"X")&gt;0),"X outside configured item","OK"))))))</f>
        <v/>
      </c>
    </row>
    <row r="210" customFormat="false" ht="15" hidden="false" customHeight="false" outlineLevel="0" collapsed="false">
      <c r="A210" s="17" t="str">
        <f aca="false">IF(B210="","",ROW()-4)</f>
        <v/>
      </c>
      <c r="B210" s="18"/>
      <c r="C210" s="18"/>
      <c r="D210" s="18"/>
      <c r="E210" s="12"/>
      <c r="F210" s="18"/>
      <c r="G210" s="18"/>
      <c r="H210" s="18"/>
      <c r="I210" s="18"/>
      <c r="J210" s="18"/>
      <c r="K210" s="18"/>
      <c r="L210" s="19"/>
      <c r="M210" s="19"/>
      <c r="N210" s="19"/>
      <c r="O210" s="19"/>
      <c r="P210" s="19"/>
      <c r="Q210" s="19"/>
      <c r="R210" s="6" t="str">
        <f aca="false">IF(B210="","",IF(COUNTIF(L210:Q210,"X")=0,"",IF(COUNTIF(L210:Q210,"X")=COUNTA(Model!$B$12:$B$17),"ALL",_xlfn.TEXTJOIN(", ",TRUE(),IF(L210="X",L$4,""),IF(M210="X",M$4,""),IF(N210="X",N$4,""),IF(O210="X",O$4,""),IF(P210="X",P$4,""),IF(Q210="X",Q$4,"")))))</f>
        <v/>
      </c>
      <c r="S210" s="6" t="str">
        <f aca="false">IF(B210="","",IF(B210&gt;B209+1,"Level skips a step",IF(AND(B210&gt;0,OR(H210="",H210&lt;=0)),"Qty missing or 0",IF(AND(J210="Existing",K210=""),"Existing ID missing",IF(AND(B210=Model!$B$8+1,COUNTIF(L210:Q210,"X")=0),"Not in any variant",IF(AND(NOT(B210=Model!$B$8+1),COUNTIF(L210:Q210,"X")&gt;0),"X outside configured item","OK"))))))</f>
        <v/>
      </c>
    </row>
    <row r="211" customFormat="false" ht="15" hidden="false" customHeight="false" outlineLevel="0" collapsed="false">
      <c r="A211" s="17" t="str">
        <f aca="false">IF(B211="","",ROW()-4)</f>
        <v/>
      </c>
      <c r="B211" s="18"/>
      <c r="C211" s="18"/>
      <c r="D211" s="18"/>
      <c r="E211" s="12"/>
      <c r="F211" s="18"/>
      <c r="G211" s="18"/>
      <c r="H211" s="18"/>
      <c r="I211" s="18"/>
      <c r="J211" s="18"/>
      <c r="K211" s="18"/>
      <c r="L211" s="19"/>
      <c r="M211" s="19"/>
      <c r="N211" s="19"/>
      <c r="O211" s="19"/>
      <c r="P211" s="19"/>
      <c r="Q211" s="19"/>
      <c r="R211" s="6" t="str">
        <f aca="false">IF(B211="","",IF(COUNTIF(L211:Q211,"X")=0,"",IF(COUNTIF(L211:Q211,"X")=COUNTA(Model!$B$12:$B$17),"ALL",_xlfn.TEXTJOIN(", ",TRUE(),IF(L211="X",L$4,""),IF(M211="X",M$4,""),IF(N211="X",N$4,""),IF(O211="X",O$4,""),IF(P211="X",P$4,""),IF(Q211="X",Q$4,"")))))</f>
        <v/>
      </c>
      <c r="S211" s="6" t="str">
        <f aca="false">IF(B211="","",IF(B211&gt;B210+1,"Level skips a step",IF(AND(B211&gt;0,OR(H211="",H211&lt;=0)),"Qty missing or 0",IF(AND(J211="Existing",K211=""),"Existing ID missing",IF(AND(B211=Model!$B$8+1,COUNTIF(L211:Q211,"X")=0),"Not in any variant",IF(AND(NOT(B211=Model!$B$8+1),COUNTIF(L211:Q211,"X")&gt;0),"X outside configured item","OK"))))))</f>
        <v/>
      </c>
    </row>
    <row r="212" customFormat="false" ht="15" hidden="false" customHeight="false" outlineLevel="0" collapsed="false">
      <c r="A212" s="17" t="str">
        <f aca="false">IF(B212="","",ROW()-4)</f>
        <v/>
      </c>
      <c r="B212" s="18"/>
      <c r="C212" s="18"/>
      <c r="D212" s="18"/>
      <c r="E212" s="12"/>
      <c r="F212" s="18"/>
      <c r="G212" s="18"/>
      <c r="H212" s="18"/>
      <c r="I212" s="18"/>
      <c r="J212" s="18"/>
      <c r="K212" s="18"/>
      <c r="L212" s="19"/>
      <c r="M212" s="19"/>
      <c r="N212" s="19"/>
      <c r="O212" s="19"/>
      <c r="P212" s="19"/>
      <c r="Q212" s="19"/>
      <c r="R212" s="6" t="str">
        <f aca="false">IF(B212="","",IF(COUNTIF(L212:Q212,"X")=0,"",IF(COUNTIF(L212:Q212,"X")=COUNTA(Model!$B$12:$B$17),"ALL",_xlfn.TEXTJOIN(", ",TRUE(),IF(L212="X",L$4,""),IF(M212="X",M$4,""),IF(N212="X",N$4,""),IF(O212="X",O$4,""),IF(P212="X",P$4,""),IF(Q212="X",Q$4,"")))))</f>
        <v/>
      </c>
      <c r="S212" s="6" t="str">
        <f aca="false">IF(B212="","",IF(B212&gt;B211+1,"Level skips a step",IF(AND(B212&gt;0,OR(H212="",H212&lt;=0)),"Qty missing or 0",IF(AND(J212="Existing",K212=""),"Existing ID missing",IF(AND(B212=Model!$B$8+1,COUNTIF(L212:Q212,"X")=0),"Not in any variant",IF(AND(NOT(B212=Model!$B$8+1),COUNTIF(L212:Q212,"X")&gt;0),"X outside configured item","OK"))))))</f>
        <v/>
      </c>
    </row>
    <row r="213" customFormat="false" ht="15" hidden="false" customHeight="false" outlineLevel="0" collapsed="false">
      <c r="A213" s="17" t="str">
        <f aca="false">IF(B213="","",ROW()-4)</f>
        <v/>
      </c>
      <c r="B213" s="18"/>
      <c r="C213" s="18"/>
      <c r="D213" s="18"/>
      <c r="E213" s="12"/>
      <c r="F213" s="18"/>
      <c r="G213" s="18"/>
      <c r="H213" s="18"/>
      <c r="I213" s="18"/>
      <c r="J213" s="18"/>
      <c r="K213" s="18"/>
      <c r="L213" s="19"/>
      <c r="M213" s="19"/>
      <c r="N213" s="19"/>
      <c r="O213" s="19"/>
      <c r="P213" s="19"/>
      <c r="Q213" s="19"/>
      <c r="R213" s="6" t="str">
        <f aca="false">IF(B213="","",IF(COUNTIF(L213:Q213,"X")=0,"",IF(COUNTIF(L213:Q213,"X")=COUNTA(Model!$B$12:$B$17),"ALL",_xlfn.TEXTJOIN(", ",TRUE(),IF(L213="X",L$4,""),IF(M213="X",M$4,""),IF(N213="X",N$4,""),IF(O213="X",O$4,""),IF(P213="X",P$4,""),IF(Q213="X",Q$4,"")))))</f>
        <v/>
      </c>
      <c r="S213" s="6" t="str">
        <f aca="false">IF(B213="","",IF(B213&gt;B212+1,"Level skips a step",IF(AND(B213&gt;0,OR(H213="",H213&lt;=0)),"Qty missing or 0",IF(AND(J213="Existing",K213=""),"Existing ID missing",IF(AND(B213=Model!$B$8+1,COUNTIF(L213:Q213,"X")=0),"Not in any variant",IF(AND(NOT(B213=Model!$B$8+1),COUNTIF(L213:Q213,"X")&gt;0),"X outside configured item","OK"))))))</f>
        <v/>
      </c>
    </row>
    <row r="214" customFormat="false" ht="15" hidden="false" customHeight="false" outlineLevel="0" collapsed="false">
      <c r="A214" s="17" t="str">
        <f aca="false">IF(B214="","",ROW()-4)</f>
        <v/>
      </c>
      <c r="B214" s="18"/>
      <c r="C214" s="18"/>
      <c r="D214" s="18"/>
      <c r="E214" s="12"/>
      <c r="F214" s="18"/>
      <c r="G214" s="18"/>
      <c r="H214" s="18"/>
      <c r="I214" s="18"/>
      <c r="J214" s="18"/>
      <c r="K214" s="18"/>
      <c r="L214" s="19"/>
      <c r="M214" s="19"/>
      <c r="N214" s="19"/>
      <c r="O214" s="19"/>
      <c r="P214" s="19"/>
      <c r="Q214" s="19"/>
      <c r="R214" s="6" t="str">
        <f aca="false">IF(B214="","",IF(COUNTIF(L214:Q214,"X")=0,"",IF(COUNTIF(L214:Q214,"X")=COUNTA(Model!$B$12:$B$17),"ALL",_xlfn.TEXTJOIN(", ",TRUE(),IF(L214="X",L$4,""),IF(M214="X",M$4,""),IF(N214="X",N$4,""),IF(O214="X",O$4,""),IF(P214="X",P$4,""),IF(Q214="X",Q$4,"")))))</f>
        <v/>
      </c>
      <c r="S214" s="6" t="str">
        <f aca="false">IF(B214="","",IF(B214&gt;B213+1,"Level skips a step",IF(AND(B214&gt;0,OR(H214="",H214&lt;=0)),"Qty missing or 0",IF(AND(J214="Existing",K214=""),"Existing ID missing",IF(AND(B214=Model!$B$8+1,COUNTIF(L214:Q214,"X")=0),"Not in any variant",IF(AND(NOT(B214=Model!$B$8+1),COUNTIF(L214:Q214,"X")&gt;0),"X outside configured item","OK"))))))</f>
        <v/>
      </c>
    </row>
    <row r="215" customFormat="false" ht="15" hidden="false" customHeight="false" outlineLevel="0" collapsed="false">
      <c r="A215" s="17" t="str">
        <f aca="false">IF(B215="","",ROW()-4)</f>
        <v/>
      </c>
      <c r="B215" s="18"/>
      <c r="C215" s="18"/>
      <c r="D215" s="18"/>
      <c r="E215" s="12"/>
      <c r="F215" s="18"/>
      <c r="G215" s="18"/>
      <c r="H215" s="18"/>
      <c r="I215" s="18"/>
      <c r="J215" s="18"/>
      <c r="K215" s="18"/>
      <c r="L215" s="19"/>
      <c r="M215" s="19"/>
      <c r="N215" s="19"/>
      <c r="O215" s="19"/>
      <c r="P215" s="19"/>
      <c r="Q215" s="19"/>
      <c r="R215" s="6" t="str">
        <f aca="false">IF(B215="","",IF(COUNTIF(L215:Q215,"X")=0,"",IF(COUNTIF(L215:Q215,"X")=COUNTA(Model!$B$12:$B$17),"ALL",_xlfn.TEXTJOIN(", ",TRUE(),IF(L215="X",L$4,""),IF(M215="X",M$4,""),IF(N215="X",N$4,""),IF(O215="X",O$4,""),IF(P215="X",P$4,""),IF(Q215="X",Q$4,"")))))</f>
        <v/>
      </c>
      <c r="S215" s="6" t="str">
        <f aca="false">IF(B215="","",IF(B215&gt;B214+1,"Level skips a step",IF(AND(B215&gt;0,OR(H215="",H215&lt;=0)),"Qty missing or 0",IF(AND(J215="Existing",K215=""),"Existing ID missing",IF(AND(B215=Model!$B$8+1,COUNTIF(L215:Q215,"X")=0),"Not in any variant",IF(AND(NOT(B215=Model!$B$8+1),COUNTIF(L215:Q215,"X")&gt;0),"X outside configured item","OK"))))))</f>
        <v/>
      </c>
    </row>
    <row r="216" customFormat="false" ht="15" hidden="false" customHeight="false" outlineLevel="0" collapsed="false">
      <c r="A216" s="17" t="str">
        <f aca="false">IF(B216="","",ROW()-4)</f>
        <v/>
      </c>
      <c r="B216" s="18"/>
      <c r="C216" s="18"/>
      <c r="D216" s="18"/>
      <c r="E216" s="12"/>
      <c r="F216" s="18"/>
      <c r="G216" s="18"/>
      <c r="H216" s="18"/>
      <c r="I216" s="18"/>
      <c r="J216" s="18"/>
      <c r="K216" s="18"/>
      <c r="L216" s="19"/>
      <c r="M216" s="19"/>
      <c r="N216" s="19"/>
      <c r="O216" s="19"/>
      <c r="P216" s="19"/>
      <c r="Q216" s="19"/>
      <c r="R216" s="6" t="str">
        <f aca="false">IF(B216="","",IF(COUNTIF(L216:Q216,"X")=0,"",IF(COUNTIF(L216:Q216,"X")=COUNTA(Model!$B$12:$B$17),"ALL",_xlfn.TEXTJOIN(", ",TRUE(),IF(L216="X",L$4,""),IF(M216="X",M$4,""),IF(N216="X",N$4,""),IF(O216="X",O$4,""),IF(P216="X",P$4,""),IF(Q216="X",Q$4,"")))))</f>
        <v/>
      </c>
      <c r="S216" s="6" t="str">
        <f aca="false">IF(B216="","",IF(B216&gt;B215+1,"Level skips a step",IF(AND(B216&gt;0,OR(H216="",H216&lt;=0)),"Qty missing or 0",IF(AND(J216="Existing",K216=""),"Existing ID missing",IF(AND(B216=Model!$B$8+1,COUNTIF(L216:Q216,"X")=0),"Not in any variant",IF(AND(NOT(B216=Model!$B$8+1),COUNTIF(L216:Q216,"X")&gt;0),"X outside configured item","OK"))))))</f>
        <v/>
      </c>
    </row>
    <row r="217" customFormat="false" ht="15" hidden="false" customHeight="false" outlineLevel="0" collapsed="false">
      <c r="A217" s="17" t="str">
        <f aca="false">IF(B217="","",ROW()-4)</f>
        <v/>
      </c>
      <c r="B217" s="18"/>
      <c r="C217" s="18"/>
      <c r="D217" s="18"/>
      <c r="E217" s="12"/>
      <c r="F217" s="18"/>
      <c r="G217" s="18"/>
      <c r="H217" s="18"/>
      <c r="I217" s="18"/>
      <c r="J217" s="18"/>
      <c r="K217" s="18"/>
      <c r="L217" s="19"/>
      <c r="M217" s="19"/>
      <c r="N217" s="19"/>
      <c r="O217" s="19"/>
      <c r="P217" s="19"/>
      <c r="Q217" s="19"/>
      <c r="R217" s="6" t="str">
        <f aca="false">IF(B217="","",IF(COUNTIF(L217:Q217,"X")=0,"",IF(COUNTIF(L217:Q217,"X")=COUNTA(Model!$B$12:$B$17),"ALL",_xlfn.TEXTJOIN(", ",TRUE(),IF(L217="X",L$4,""),IF(M217="X",M$4,""),IF(N217="X",N$4,""),IF(O217="X",O$4,""),IF(P217="X",P$4,""),IF(Q217="X",Q$4,"")))))</f>
        <v/>
      </c>
      <c r="S217" s="6" t="str">
        <f aca="false">IF(B217="","",IF(B217&gt;B216+1,"Level skips a step",IF(AND(B217&gt;0,OR(H217="",H217&lt;=0)),"Qty missing or 0",IF(AND(J217="Existing",K217=""),"Existing ID missing",IF(AND(B217=Model!$B$8+1,COUNTIF(L217:Q217,"X")=0),"Not in any variant",IF(AND(NOT(B217=Model!$B$8+1),COUNTIF(L217:Q217,"X")&gt;0),"X outside configured item","OK"))))))</f>
        <v/>
      </c>
    </row>
    <row r="218" customFormat="false" ht="15" hidden="false" customHeight="false" outlineLevel="0" collapsed="false">
      <c r="A218" s="17" t="str">
        <f aca="false">IF(B218="","",ROW()-4)</f>
        <v/>
      </c>
      <c r="B218" s="18"/>
      <c r="C218" s="18"/>
      <c r="D218" s="18"/>
      <c r="E218" s="12"/>
      <c r="F218" s="18"/>
      <c r="G218" s="18"/>
      <c r="H218" s="18"/>
      <c r="I218" s="18"/>
      <c r="J218" s="18"/>
      <c r="K218" s="18"/>
      <c r="L218" s="19"/>
      <c r="M218" s="19"/>
      <c r="N218" s="19"/>
      <c r="O218" s="19"/>
      <c r="P218" s="19"/>
      <c r="Q218" s="19"/>
      <c r="R218" s="6" t="str">
        <f aca="false">IF(B218="","",IF(COUNTIF(L218:Q218,"X")=0,"",IF(COUNTIF(L218:Q218,"X")=COUNTA(Model!$B$12:$B$17),"ALL",_xlfn.TEXTJOIN(", ",TRUE(),IF(L218="X",L$4,""),IF(M218="X",M$4,""),IF(N218="X",N$4,""),IF(O218="X",O$4,""),IF(P218="X",P$4,""),IF(Q218="X",Q$4,"")))))</f>
        <v/>
      </c>
      <c r="S218" s="6" t="str">
        <f aca="false">IF(B218="","",IF(B218&gt;B217+1,"Level skips a step",IF(AND(B218&gt;0,OR(H218="",H218&lt;=0)),"Qty missing or 0",IF(AND(J218="Existing",K218=""),"Existing ID missing",IF(AND(B218=Model!$B$8+1,COUNTIF(L218:Q218,"X")=0),"Not in any variant",IF(AND(NOT(B218=Model!$B$8+1),COUNTIF(L218:Q218,"X")&gt;0),"X outside configured item","OK"))))))</f>
        <v/>
      </c>
    </row>
    <row r="219" customFormat="false" ht="15" hidden="false" customHeight="false" outlineLevel="0" collapsed="false">
      <c r="A219" s="17" t="str">
        <f aca="false">IF(B219="","",ROW()-4)</f>
        <v/>
      </c>
      <c r="B219" s="18"/>
      <c r="C219" s="18"/>
      <c r="D219" s="18"/>
      <c r="E219" s="12"/>
      <c r="F219" s="18"/>
      <c r="G219" s="18"/>
      <c r="H219" s="18"/>
      <c r="I219" s="18"/>
      <c r="J219" s="18"/>
      <c r="K219" s="18"/>
      <c r="L219" s="19"/>
      <c r="M219" s="19"/>
      <c r="N219" s="19"/>
      <c r="O219" s="19"/>
      <c r="P219" s="19"/>
      <c r="Q219" s="19"/>
      <c r="R219" s="6" t="str">
        <f aca="false">IF(B219="","",IF(COUNTIF(L219:Q219,"X")=0,"",IF(COUNTIF(L219:Q219,"X")=COUNTA(Model!$B$12:$B$17),"ALL",_xlfn.TEXTJOIN(", ",TRUE(),IF(L219="X",L$4,""),IF(M219="X",M$4,""),IF(N219="X",N$4,""),IF(O219="X",O$4,""),IF(P219="X",P$4,""),IF(Q219="X",Q$4,"")))))</f>
        <v/>
      </c>
      <c r="S219" s="6" t="str">
        <f aca="false">IF(B219="","",IF(B219&gt;B218+1,"Level skips a step",IF(AND(B219&gt;0,OR(H219="",H219&lt;=0)),"Qty missing or 0",IF(AND(J219="Existing",K219=""),"Existing ID missing",IF(AND(B219=Model!$B$8+1,COUNTIF(L219:Q219,"X")=0),"Not in any variant",IF(AND(NOT(B219=Model!$B$8+1),COUNTIF(L219:Q219,"X")&gt;0),"X outside configured item","OK"))))))</f>
        <v/>
      </c>
    </row>
    <row r="220" customFormat="false" ht="15" hidden="false" customHeight="false" outlineLevel="0" collapsed="false">
      <c r="A220" s="17" t="str">
        <f aca="false">IF(B220="","",ROW()-4)</f>
        <v/>
      </c>
      <c r="B220" s="18"/>
      <c r="C220" s="18"/>
      <c r="D220" s="18"/>
      <c r="E220" s="12"/>
      <c r="F220" s="18"/>
      <c r="G220" s="18"/>
      <c r="H220" s="18"/>
      <c r="I220" s="18"/>
      <c r="J220" s="18"/>
      <c r="K220" s="18"/>
      <c r="L220" s="19"/>
      <c r="M220" s="19"/>
      <c r="N220" s="19"/>
      <c r="O220" s="19"/>
      <c r="P220" s="19"/>
      <c r="Q220" s="19"/>
      <c r="R220" s="6" t="str">
        <f aca="false">IF(B220="","",IF(COUNTIF(L220:Q220,"X")=0,"",IF(COUNTIF(L220:Q220,"X")=COUNTA(Model!$B$12:$B$17),"ALL",_xlfn.TEXTJOIN(", ",TRUE(),IF(L220="X",L$4,""),IF(M220="X",M$4,""),IF(N220="X",N$4,""),IF(O220="X",O$4,""),IF(P220="X",P$4,""),IF(Q220="X",Q$4,"")))))</f>
        <v/>
      </c>
      <c r="S220" s="6" t="str">
        <f aca="false">IF(B220="","",IF(B220&gt;B219+1,"Level skips a step",IF(AND(B220&gt;0,OR(H220="",H220&lt;=0)),"Qty missing or 0",IF(AND(J220="Existing",K220=""),"Existing ID missing",IF(AND(B220=Model!$B$8+1,COUNTIF(L220:Q220,"X")=0),"Not in any variant",IF(AND(NOT(B220=Model!$B$8+1),COUNTIF(L220:Q220,"X")&gt;0),"X outside configured item","OK"))))))</f>
        <v/>
      </c>
    </row>
    <row r="221" customFormat="false" ht="15" hidden="false" customHeight="false" outlineLevel="0" collapsed="false">
      <c r="A221" s="17" t="str">
        <f aca="false">IF(B221="","",ROW()-4)</f>
        <v/>
      </c>
      <c r="B221" s="18"/>
      <c r="C221" s="18"/>
      <c r="D221" s="18"/>
      <c r="E221" s="12"/>
      <c r="F221" s="18"/>
      <c r="G221" s="18"/>
      <c r="H221" s="18"/>
      <c r="I221" s="18"/>
      <c r="J221" s="18"/>
      <c r="K221" s="18"/>
      <c r="L221" s="19"/>
      <c r="M221" s="19"/>
      <c r="N221" s="19"/>
      <c r="O221" s="19"/>
      <c r="P221" s="19"/>
      <c r="Q221" s="19"/>
      <c r="R221" s="6" t="str">
        <f aca="false">IF(B221="","",IF(COUNTIF(L221:Q221,"X")=0,"",IF(COUNTIF(L221:Q221,"X")=COUNTA(Model!$B$12:$B$17),"ALL",_xlfn.TEXTJOIN(", ",TRUE(),IF(L221="X",L$4,""),IF(M221="X",M$4,""),IF(N221="X",N$4,""),IF(O221="X",O$4,""),IF(P221="X",P$4,""),IF(Q221="X",Q$4,"")))))</f>
        <v/>
      </c>
      <c r="S221" s="6" t="str">
        <f aca="false">IF(B221="","",IF(B221&gt;B220+1,"Level skips a step",IF(AND(B221&gt;0,OR(H221="",H221&lt;=0)),"Qty missing or 0",IF(AND(J221="Existing",K221=""),"Existing ID missing",IF(AND(B221=Model!$B$8+1,COUNTIF(L221:Q221,"X")=0),"Not in any variant",IF(AND(NOT(B221=Model!$B$8+1),COUNTIF(L221:Q221,"X")&gt;0),"X outside configured item","OK"))))))</f>
        <v/>
      </c>
    </row>
    <row r="222" customFormat="false" ht="15" hidden="false" customHeight="false" outlineLevel="0" collapsed="false">
      <c r="A222" s="17" t="str">
        <f aca="false">IF(B222="","",ROW()-4)</f>
        <v/>
      </c>
      <c r="B222" s="18"/>
      <c r="C222" s="18"/>
      <c r="D222" s="18"/>
      <c r="E222" s="12"/>
      <c r="F222" s="18"/>
      <c r="G222" s="18"/>
      <c r="H222" s="18"/>
      <c r="I222" s="18"/>
      <c r="J222" s="18"/>
      <c r="K222" s="18"/>
      <c r="L222" s="19"/>
      <c r="M222" s="19"/>
      <c r="N222" s="19"/>
      <c r="O222" s="19"/>
      <c r="P222" s="19"/>
      <c r="Q222" s="19"/>
      <c r="R222" s="6" t="str">
        <f aca="false">IF(B222="","",IF(COUNTIF(L222:Q222,"X")=0,"",IF(COUNTIF(L222:Q222,"X")=COUNTA(Model!$B$12:$B$17),"ALL",_xlfn.TEXTJOIN(", ",TRUE(),IF(L222="X",L$4,""),IF(M222="X",M$4,""),IF(N222="X",N$4,""),IF(O222="X",O$4,""),IF(P222="X",P$4,""),IF(Q222="X",Q$4,"")))))</f>
        <v/>
      </c>
      <c r="S222" s="6" t="str">
        <f aca="false">IF(B222="","",IF(B222&gt;B221+1,"Level skips a step",IF(AND(B222&gt;0,OR(H222="",H222&lt;=0)),"Qty missing or 0",IF(AND(J222="Existing",K222=""),"Existing ID missing",IF(AND(B222=Model!$B$8+1,COUNTIF(L222:Q222,"X")=0),"Not in any variant",IF(AND(NOT(B222=Model!$B$8+1),COUNTIF(L222:Q222,"X")&gt;0),"X outside configured item","OK"))))))</f>
        <v/>
      </c>
    </row>
    <row r="223" customFormat="false" ht="15" hidden="false" customHeight="false" outlineLevel="0" collapsed="false">
      <c r="A223" s="17" t="str">
        <f aca="false">IF(B223="","",ROW()-4)</f>
        <v/>
      </c>
      <c r="B223" s="18"/>
      <c r="C223" s="18"/>
      <c r="D223" s="18"/>
      <c r="E223" s="12"/>
      <c r="F223" s="18"/>
      <c r="G223" s="18"/>
      <c r="H223" s="18"/>
      <c r="I223" s="18"/>
      <c r="J223" s="18"/>
      <c r="K223" s="18"/>
      <c r="L223" s="19"/>
      <c r="M223" s="19"/>
      <c r="N223" s="19"/>
      <c r="O223" s="19"/>
      <c r="P223" s="19"/>
      <c r="Q223" s="19"/>
      <c r="R223" s="6" t="str">
        <f aca="false">IF(B223="","",IF(COUNTIF(L223:Q223,"X")=0,"",IF(COUNTIF(L223:Q223,"X")=COUNTA(Model!$B$12:$B$17),"ALL",_xlfn.TEXTJOIN(", ",TRUE(),IF(L223="X",L$4,""),IF(M223="X",M$4,""),IF(N223="X",N$4,""),IF(O223="X",O$4,""),IF(P223="X",P$4,""),IF(Q223="X",Q$4,"")))))</f>
        <v/>
      </c>
      <c r="S223" s="6" t="str">
        <f aca="false">IF(B223="","",IF(B223&gt;B222+1,"Level skips a step",IF(AND(B223&gt;0,OR(H223="",H223&lt;=0)),"Qty missing or 0",IF(AND(J223="Existing",K223=""),"Existing ID missing",IF(AND(B223=Model!$B$8+1,COUNTIF(L223:Q223,"X")=0),"Not in any variant",IF(AND(NOT(B223=Model!$B$8+1),COUNTIF(L223:Q223,"X")&gt;0),"X outside configured item","OK"))))))</f>
        <v/>
      </c>
    </row>
    <row r="224" customFormat="false" ht="15" hidden="false" customHeight="false" outlineLevel="0" collapsed="false">
      <c r="A224" s="17" t="str">
        <f aca="false">IF(B224="","",ROW()-4)</f>
        <v/>
      </c>
      <c r="B224" s="18"/>
      <c r="C224" s="18"/>
      <c r="D224" s="18"/>
      <c r="E224" s="12"/>
      <c r="F224" s="18"/>
      <c r="G224" s="18"/>
      <c r="H224" s="18"/>
      <c r="I224" s="18"/>
      <c r="J224" s="18"/>
      <c r="K224" s="18"/>
      <c r="L224" s="19"/>
      <c r="M224" s="19"/>
      <c r="N224" s="19"/>
      <c r="O224" s="19"/>
      <c r="P224" s="19"/>
      <c r="Q224" s="19"/>
      <c r="R224" s="6" t="str">
        <f aca="false">IF(B224="","",IF(COUNTIF(L224:Q224,"X")=0,"",IF(COUNTIF(L224:Q224,"X")=COUNTA(Model!$B$12:$B$17),"ALL",_xlfn.TEXTJOIN(", ",TRUE(),IF(L224="X",L$4,""),IF(M224="X",M$4,""),IF(N224="X",N$4,""),IF(O224="X",O$4,""),IF(P224="X",P$4,""),IF(Q224="X",Q$4,"")))))</f>
        <v/>
      </c>
      <c r="S224" s="6" t="str">
        <f aca="false">IF(B224="","",IF(B224&gt;B223+1,"Level skips a step",IF(AND(B224&gt;0,OR(H224="",H224&lt;=0)),"Qty missing or 0",IF(AND(J224="Existing",K224=""),"Existing ID missing",IF(AND(B224=Model!$B$8+1,COUNTIF(L224:Q224,"X")=0),"Not in any variant",IF(AND(NOT(B224=Model!$B$8+1),COUNTIF(L224:Q224,"X")&gt;0),"X outside configured item","OK"))))))</f>
        <v/>
      </c>
    </row>
    <row r="225" customFormat="false" ht="15" hidden="false" customHeight="false" outlineLevel="0" collapsed="false">
      <c r="A225" s="17" t="str">
        <f aca="false">IF(B225="","",ROW()-4)</f>
        <v/>
      </c>
      <c r="B225" s="18"/>
      <c r="C225" s="18"/>
      <c r="D225" s="18"/>
      <c r="E225" s="12"/>
      <c r="F225" s="18"/>
      <c r="G225" s="18"/>
      <c r="H225" s="18"/>
      <c r="I225" s="18"/>
      <c r="J225" s="18"/>
      <c r="K225" s="18"/>
      <c r="L225" s="19"/>
      <c r="M225" s="19"/>
      <c r="N225" s="19"/>
      <c r="O225" s="19"/>
      <c r="P225" s="19"/>
      <c r="Q225" s="19"/>
      <c r="R225" s="6" t="str">
        <f aca="false">IF(B225="","",IF(COUNTIF(L225:Q225,"X")=0,"",IF(COUNTIF(L225:Q225,"X")=COUNTA(Model!$B$12:$B$17),"ALL",_xlfn.TEXTJOIN(", ",TRUE(),IF(L225="X",L$4,""),IF(M225="X",M$4,""),IF(N225="X",N$4,""),IF(O225="X",O$4,""),IF(P225="X",P$4,""),IF(Q225="X",Q$4,"")))))</f>
        <v/>
      </c>
      <c r="S225" s="6" t="str">
        <f aca="false">IF(B225="","",IF(B225&gt;B224+1,"Level skips a step",IF(AND(B225&gt;0,OR(H225="",H225&lt;=0)),"Qty missing or 0",IF(AND(J225="Existing",K225=""),"Existing ID missing",IF(AND(B225=Model!$B$8+1,COUNTIF(L225:Q225,"X")=0),"Not in any variant",IF(AND(NOT(B225=Model!$B$8+1),COUNTIF(L225:Q225,"X")&gt;0),"X outside configured item","OK"))))))</f>
        <v/>
      </c>
    </row>
    <row r="226" customFormat="false" ht="15" hidden="false" customHeight="false" outlineLevel="0" collapsed="false">
      <c r="A226" s="17" t="str">
        <f aca="false">IF(B226="","",ROW()-4)</f>
        <v/>
      </c>
      <c r="B226" s="18"/>
      <c r="C226" s="18"/>
      <c r="D226" s="18"/>
      <c r="E226" s="12"/>
      <c r="F226" s="18"/>
      <c r="G226" s="18"/>
      <c r="H226" s="18"/>
      <c r="I226" s="18"/>
      <c r="J226" s="18"/>
      <c r="K226" s="18"/>
      <c r="L226" s="19"/>
      <c r="M226" s="19"/>
      <c r="N226" s="19"/>
      <c r="O226" s="19"/>
      <c r="P226" s="19"/>
      <c r="Q226" s="19"/>
      <c r="R226" s="6" t="str">
        <f aca="false">IF(B226="","",IF(COUNTIF(L226:Q226,"X")=0,"",IF(COUNTIF(L226:Q226,"X")=COUNTA(Model!$B$12:$B$17),"ALL",_xlfn.TEXTJOIN(", ",TRUE(),IF(L226="X",L$4,""),IF(M226="X",M$4,""),IF(N226="X",N$4,""),IF(O226="X",O$4,""),IF(P226="X",P$4,""),IF(Q226="X",Q$4,"")))))</f>
        <v/>
      </c>
      <c r="S226" s="6" t="str">
        <f aca="false">IF(B226="","",IF(B226&gt;B225+1,"Level skips a step",IF(AND(B226&gt;0,OR(H226="",H226&lt;=0)),"Qty missing or 0",IF(AND(J226="Existing",K226=""),"Existing ID missing",IF(AND(B226=Model!$B$8+1,COUNTIF(L226:Q226,"X")=0),"Not in any variant",IF(AND(NOT(B226=Model!$B$8+1),COUNTIF(L226:Q226,"X")&gt;0),"X outside configured item","OK"))))))</f>
        <v/>
      </c>
    </row>
    <row r="227" customFormat="false" ht="15" hidden="false" customHeight="false" outlineLevel="0" collapsed="false">
      <c r="A227" s="17" t="str">
        <f aca="false">IF(B227="","",ROW()-4)</f>
        <v/>
      </c>
      <c r="B227" s="18"/>
      <c r="C227" s="18"/>
      <c r="D227" s="18"/>
      <c r="E227" s="12"/>
      <c r="F227" s="18"/>
      <c r="G227" s="18"/>
      <c r="H227" s="18"/>
      <c r="I227" s="18"/>
      <c r="J227" s="18"/>
      <c r="K227" s="18"/>
      <c r="L227" s="19"/>
      <c r="M227" s="19"/>
      <c r="N227" s="19"/>
      <c r="O227" s="19"/>
      <c r="P227" s="19"/>
      <c r="Q227" s="19"/>
      <c r="R227" s="6" t="str">
        <f aca="false">IF(B227="","",IF(COUNTIF(L227:Q227,"X")=0,"",IF(COUNTIF(L227:Q227,"X")=COUNTA(Model!$B$12:$B$17),"ALL",_xlfn.TEXTJOIN(", ",TRUE(),IF(L227="X",L$4,""),IF(M227="X",M$4,""),IF(N227="X",N$4,""),IF(O227="X",O$4,""),IF(P227="X",P$4,""),IF(Q227="X",Q$4,"")))))</f>
        <v/>
      </c>
      <c r="S227" s="6" t="str">
        <f aca="false">IF(B227="","",IF(B227&gt;B226+1,"Level skips a step",IF(AND(B227&gt;0,OR(H227="",H227&lt;=0)),"Qty missing or 0",IF(AND(J227="Existing",K227=""),"Existing ID missing",IF(AND(B227=Model!$B$8+1,COUNTIF(L227:Q227,"X")=0),"Not in any variant",IF(AND(NOT(B227=Model!$B$8+1),COUNTIF(L227:Q227,"X")&gt;0),"X outside configured item","OK"))))))</f>
        <v/>
      </c>
    </row>
    <row r="228" customFormat="false" ht="15" hidden="false" customHeight="false" outlineLevel="0" collapsed="false">
      <c r="A228" s="17" t="str">
        <f aca="false">IF(B228="","",ROW()-4)</f>
        <v/>
      </c>
      <c r="B228" s="18"/>
      <c r="C228" s="18"/>
      <c r="D228" s="18"/>
      <c r="E228" s="12"/>
      <c r="F228" s="18"/>
      <c r="G228" s="18"/>
      <c r="H228" s="18"/>
      <c r="I228" s="18"/>
      <c r="J228" s="18"/>
      <c r="K228" s="18"/>
      <c r="L228" s="19"/>
      <c r="M228" s="19"/>
      <c r="N228" s="19"/>
      <c r="O228" s="19"/>
      <c r="P228" s="19"/>
      <c r="Q228" s="19"/>
      <c r="R228" s="6" t="str">
        <f aca="false">IF(B228="","",IF(COUNTIF(L228:Q228,"X")=0,"",IF(COUNTIF(L228:Q228,"X")=COUNTA(Model!$B$12:$B$17),"ALL",_xlfn.TEXTJOIN(", ",TRUE(),IF(L228="X",L$4,""),IF(M228="X",M$4,""),IF(N228="X",N$4,""),IF(O228="X",O$4,""),IF(P228="X",P$4,""),IF(Q228="X",Q$4,"")))))</f>
        <v/>
      </c>
      <c r="S228" s="6" t="str">
        <f aca="false">IF(B228="","",IF(B228&gt;B227+1,"Level skips a step",IF(AND(B228&gt;0,OR(H228="",H228&lt;=0)),"Qty missing or 0",IF(AND(J228="Existing",K228=""),"Existing ID missing",IF(AND(B228=Model!$B$8+1,COUNTIF(L228:Q228,"X")=0),"Not in any variant",IF(AND(NOT(B228=Model!$B$8+1),COUNTIF(L228:Q228,"X")&gt;0),"X outside configured item","OK"))))))</f>
        <v/>
      </c>
    </row>
    <row r="229" customFormat="false" ht="15" hidden="false" customHeight="false" outlineLevel="0" collapsed="false">
      <c r="A229" s="17" t="str">
        <f aca="false">IF(B229="","",ROW()-4)</f>
        <v/>
      </c>
      <c r="B229" s="18"/>
      <c r="C229" s="18"/>
      <c r="D229" s="18"/>
      <c r="E229" s="12"/>
      <c r="F229" s="18"/>
      <c r="G229" s="18"/>
      <c r="H229" s="18"/>
      <c r="I229" s="18"/>
      <c r="J229" s="18"/>
      <c r="K229" s="18"/>
      <c r="L229" s="19"/>
      <c r="M229" s="19"/>
      <c r="N229" s="19"/>
      <c r="O229" s="19"/>
      <c r="P229" s="19"/>
      <c r="Q229" s="19"/>
      <c r="R229" s="6" t="str">
        <f aca="false">IF(B229="","",IF(COUNTIF(L229:Q229,"X")=0,"",IF(COUNTIF(L229:Q229,"X")=COUNTA(Model!$B$12:$B$17),"ALL",_xlfn.TEXTJOIN(", ",TRUE(),IF(L229="X",L$4,""),IF(M229="X",M$4,""),IF(N229="X",N$4,""),IF(O229="X",O$4,""),IF(P229="X",P$4,""),IF(Q229="X",Q$4,"")))))</f>
        <v/>
      </c>
      <c r="S229" s="6" t="str">
        <f aca="false">IF(B229="","",IF(B229&gt;B228+1,"Level skips a step",IF(AND(B229&gt;0,OR(H229="",H229&lt;=0)),"Qty missing or 0",IF(AND(J229="Existing",K229=""),"Existing ID missing",IF(AND(B229=Model!$B$8+1,COUNTIF(L229:Q229,"X")=0),"Not in any variant",IF(AND(NOT(B229=Model!$B$8+1),COUNTIF(L229:Q229,"X")&gt;0),"X outside configured item","OK"))))))</f>
        <v/>
      </c>
    </row>
    <row r="230" customFormat="false" ht="15" hidden="false" customHeight="false" outlineLevel="0" collapsed="false">
      <c r="A230" s="17" t="str">
        <f aca="false">IF(B230="","",ROW()-4)</f>
        <v/>
      </c>
      <c r="B230" s="18"/>
      <c r="C230" s="18"/>
      <c r="D230" s="18"/>
      <c r="E230" s="12"/>
      <c r="F230" s="18"/>
      <c r="G230" s="18"/>
      <c r="H230" s="18"/>
      <c r="I230" s="18"/>
      <c r="J230" s="18"/>
      <c r="K230" s="18"/>
      <c r="L230" s="19"/>
      <c r="M230" s="19"/>
      <c r="N230" s="19"/>
      <c r="O230" s="19"/>
      <c r="P230" s="19"/>
      <c r="Q230" s="19"/>
      <c r="R230" s="6" t="str">
        <f aca="false">IF(B230="","",IF(COUNTIF(L230:Q230,"X")=0,"",IF(COUNTIF(L230:Q230,"X")=COUNTA(Model!$B$12:$B$17),"ALL",_xlfn.TEXTJOIN(", ",TRUE(),IF(L230="X",L$4,""),IF(M230="X",M$4,""),IF(N230="X",N$4,""),IF(O230="X",O$4,""),IF(P230="X",P$4,""),IF(Q230="X",Q$4,"")))))</f>
        <v/>
      </c>
      <c r="S230" s="6" t="str">
        <f aca="false">IF(B230="","",IF(B230&gt;B229+1,"Level skips a step",IF(AND(B230&gt;0,OR(H230="",H230&lt;=0)),"Qty missing or 0",IF(AND(J230="Existing",K230=""),"Existing ID missing",IF(AND(B230=Model!$B$8+1,COUNTIF(L230:Q230,"X")=0),"Not in any variant",IF(AND(NOT(B230=Model!$B$8+1),COUNTIF(L230:Q230,"X")&gt;0),"X outside configured item","OK"))))))</f>
        <v/>
      </c>
    </row>
    <row r="231" customFormat="false" ht="15" hidden="false" customHeight="false" outlineLevel="0" collapsed="false">
      <c r="A231" s="17" t="str">
        <f aca="false">IF(B231="","",ROW()-4)</f>
        <v/>
      </c>
      <c r="B231" s="18"/>
      <c r="C231" s="18"/>
      <c r="D231" s="18"/>
      <c r="E231" s="12"/>
      <c r="F231" s="18"/>
      <c r="G231" s="18"/>
      <c r="H231" s="18"/>
      <c r="I231" s="18"/>
      <c r="J231" s="18"/>
      <c r="K231" s="18"/>
      <c r="L231" s="19"/>
      <c r="M231" s="19"/>
      <c r="N231" s="19"/>
      <c r="O231" s="19"/>
      <c r="P231" s="19"/>
      <c r="Q231" s="19"/>
      <c r="R231" s="6" t="str">
        <f aca="false">IF(B231="","",IF(COUNTIF(L231:Q231,"X")=0,"",IF(COUNTIF(L231:Q231,"X")=COUNTA(Model!$B$12:$B$17),"ALL",_xlfn.TEXTJOIN(", ",TRUE(),IF(L231="X",L$4,""),IF(M231="X",M$4,""),IF(N231="X",N$4,""),IF(O231="X",O$4,""),IF(P231="X",P$4,""),IF(Q231="X",Q$4,"")))))</f>
        <v/>
      </c>
      <c r="S231" s="6" t="str">
        <f aca="false">IF(B231="","",IF(B231&gt;B230+1,"Level skips a step",IF(AND(B231&gt;0,OR(H231="",H231&lt;=0)),"Qty missing or 0",IF(AND(J231="Existing",K231=""),"Existing ID missing",IF(AND(B231=Model!$B$8+1,COUNTIF(L231:Q231,"X")=0),"Not in any variant",IF(AND(NOT(B231=Model!$B$8+1),COUNTIF(L231:Q231,"X")&gt;0),"X outside configured item","OK"))))))</f>
        <v/>
      </c>
    </row>
    <row r="232" customFormat="false" ht="15" hidden="false" customHeight="false" outlineLevel="0" collapsed="false">
      <c r="A232" s="17" t="str">
        <f aca="false">IF(B232="","",ROW()-4)</f>
        <v/>
      </c>
      <c r="B232" s="18"/>
      <c r="C232" s="18"/>
      <c r="D232" s="18"/>
      <c r="E232" s="12"/>
      <c r="F232" s="18"/>
      <c r="G232" s="18"/>
      <c r="H232" s="18"/>
      <c r="I232" s="18"/>
      <c r="J232" s="18"/>
      <c r="K232" s="18"/>
      <c r="L232" s="19"/>
      <c r="M232" s="19"/>
      <c r="N232" s="19"/>
      <c r="O232" s="19"/>
      <c r="P232" s="19"/>
      <c r="Q232" s="19"/>
      <c r="R232" s="6" t="str">
        <f aca="false">IF(B232="","",IF(COUNTIF(L232:Q232,"X")=0,"",IF(COUNTIF(L232:Q232,"X")=COUNTA(Model!$B$12:$B$17),"ALL",_xlfn.TEXTJOIN(", ",TRUE(),IF(L232="X",L$4,""),IF(M232="X",M$4,""),IF(N232="X",N$4,""),IF(O232="X",O$4,""),IF(P232="X",P$4,""),IF(Q232="X",Q$4,"")))))</f>
        <v/>
      </c>
      <c r="S232" s="6" t="str">
        <f aca="false">IF(B232="","",IF(B232&gt;B231+1,"Level skips a step",IF(AND(B232&gt;0,OR(H232="",H232&lt;=0)),"Qty missing or 0",IF(AND(J232="Existing",K232=""),"Existing ID missing",IF(AND(B232=Model!$B$8+1,COUNTIF(L232:Q232,"X")=0),"Not in any variant",IF(AND(NOT(B232=Model!$B$8+1),COUNTIF(L232:Q232,"X")&gt;0),"X outside configured item","OK"))))))</f>
        <v/>
      </c>
    </row>
    <row r="233" customFormat="false" ht="15" hidden="false" customHeight="false" outlineLevel="0" collapsed="false">
      <c r="A233" s="17" t="str">
        <f aca="false">IF(B233="","",ROW()-4)</f>
        <v/>
      </c>
      <c r="B233" s="18"/>
      <c r="C233" s="18"/>
      <c r="D233" s="18"/>
      <c r="E233" s="12"/>
      <c r="F233" s="18"/>
      <c r="G233" s="18"/>
      <c r="H233" s="18"/>
      <c r="I233" s="18"/>
      <c r="J233" s="18"/>
      <c r="K233" s="18"/>
      <c r="L233" s="19"/>
      <c r="M233" s="19"/>
      <c r="N233" s="19"/>
      <c r="O233" s="19"/>
      <c r="P233" s="19"/>
      <c r="Q233" s="19"/>
      <c r="R233" s="6" t="str">
        <f aca="false">IF(B233="","",IF(COUNTIF(L233:Q233,"X")=0,"",IF(COUNTIF(L233:Q233,"X")=COUNTA(Model!$B$12:$B$17),"ALL",_xlfn.TEXTJOIN(", ",TRUE(),IF(L233="X",L$4,""),IF(M233="X",M$4,""),IF(N233="X",N$4,""),IF(O233="X",O$4,""),IF(P233="X",P$4,""),IF(Q233="X",Q$4,"")))))</f>
        <v/>
      </c>
      <c r="S233" s="6" t="str">
        <f aca="false">IF(B233="","",IF(B233&gt;B232+1,"Level skips a step",IF(AND(B233&gt;0,OR(H233="",H233&lt;=0)),"Qty missing or 0",IF(AND(J233="Existing",K233=""),"Existing ID missing",IF(AND(B233=Model!$B$8+1,COUNTIF(L233:Q233,"X")=0),"Not in any variant",IF(AND(NOT(B233=Model!$B$8+1),COUNTIF(L233:Q233,"X")&gt;0),"X outside configured item","OK"))))))</f>
        <v/>
      </c>
    </row>
    <row r="234" customFormat="false" ht="15" hidden="false" customHeight="false" outlineLevel="0" collapsed="false">
      <c r="A234" s="17" t="str">
        <f aca="false">IF(B234="","",ROW()-4)</f>
        <v/>
      </c>
      <c r="B234" s="18"/>
      <c r="C234" s="18"/>
      <c r="D234" s="18"/>
      <c r="E234" s="12"/>
      <c r="F234" s="18"/>
      <c r="G234" s="18"/>
      <c r="H234" s="18"/>
      <c r="I234" s="18"/>
      <c r="J234" s="18"/>
      <c r="K234" s="18"/>
      <c r="L234" s="19"/>
      <c r="M234" s="19"/>
      <c r="N234" s="19"/>
      <c r="O234" s="19"/>
      <c r="P234" s="19"/>
      <c r="Q234" s="19"/>
      <c r="R234" s="6" t="str">
        <f aca="false">IF(B234="","",IF(COUNTIF(L234:Q234,"X")=0,"",IF(COUNTIF(L234:Q234,"X")=COUNTA(Model!$B$12:$B$17),"ALL",_xlfn.TEXTJOIN(", ",TRUE(),IF(L234="X",L$4,""),IF(M234="X",M$4,""),IF(N234="X",N$4,""),IF(O234="X",O$4,""),IF(P234="X",P$4,""),IF(Q234="X",Q$4,"")))))</f>
        <v/>
      </c>
      <c r="S234" s="6" t="str">
        <f aca="false">IF(B234="","",IF(B234&gt;B233+1,"Level skips a step",IF(AND(B234&gt;0,OR(H234="",H234&lt;=0)),"Qty missing or 0",IF(AND(J234="Existing",K234=""),"Existing ID missing",IF(AND(B234=Model!$B$8+1,COUNTIF(L234:Q234,"X")=0),"Not in any variant",IF(AND(NOT(B234=Model!$B$8+1),COUNTIF(L234:Q234,"X")&gt;0),"X outside configured item","OK"))))))</f>
        <v/>
      </c>
    </row>
    <row r="235" customFormat="false" ht="15" hidden="false" customHeight="false" outlineLevel="0" collapsed="false">
      <c r="A235" s="17" t="str">
        <f aca="false">IF(B235="","",ROW()-4)</f>
        <v/>
      </c>
      <c r="B235" s="18"/>
      <c r="C235" s="18"/>
      <c r="D235" s="18"/>
      <c r="E235" s="12"/>
      <c r="F235" s="18"/>
      <c r="G235" s="18"/>
      <c r="H235" s="18"/>
      <c r="I235" s="18"/>
      <c r="J235" s="18"/>
      <c r="K235" s="18"/>
      <c r="L235" s="19"/>
      <c r="M235" s="19"/>
      <c r="N235" s="19"/>
      <c r="O235" s="19"/>
      <c r="P235" s="19"/>
      <c r="Q235" s="19"/>
      <c r="R235" s="6" t="str">
        <f aca="false">IF(B235="","",IF(COUNTIF(L235:Q235,"X")=0,"",IF(COUNTIF(L235:Q235,"X")=COUNTA(Model!$B$12:$B$17),"ALL",_xlfn.TEXTJOIN(", ",TRUE(),IF(L235="X",L$4,""),IF(M235="X",M$4,""),IF(N235="X",N$4,""),IF(O235="X",O$4,""),IF(P235="X",P$4,""),IF(Q235="X",Q$4,"")))))</f>
        <v/>
      </c>
      <c r="S235" s="6" t="str">
        <f aca="false">IF(B235="","",IF(B235&gt;B234+1,"Level skips a step",IF(AND(B235&gt;0,OR(H235="",H235&lt;=0)),"Qty missing or 0",IF(AND(J235="Existing",K235=""),"Existing ID missing",IF(AND(B235=Model!$B$8+1,COUNTIF(L235:Q235,"X")=0),"Not in any variant",IF(AND(NOT(B235=Model!$B$8+1),COUNTIF(L235:Q235,"X")&gt;0),"X outside configured item","OK"))))))</f>
        <v/>
      </c>
    </row>
    <row r="236" customFormat="false" ht="15" hidden="false" customHeight="false" outlineLevel="0" collapsed="false">
      <c r="A236" s="17" t="str">
        <f aca="false">IF(B236="","",ROW()-4)</f>
        <v/>
      </c>
      <c r="B236" s="18"/>
      <c r="C236" s="18"/>
      <c r="D236" s="18"/>
      <c r="E236" s="12"/>
      <c r="F236" s="18"/>
      <c r="G236" s="18"/>
      <c r="H236" s="18"/>
      <c r="I236" s="18"/>
      <c r="J236" s="18"/>
      <c r="K236" s="18"/>
      <c r="L236" s="19"/>
      <c r="M236" s="19"/>
      <c r="N236" s="19"/>
      <c r="O236" s="19"/>
      <c r="P236" s="19"/>
      <c r="Q236" s="19"/>
      <c r="R236" s="6" t="str">
        <f aca="false">IF(B236="","",IF(COUNTIF(L236:Q236,"X")=0,"",IF(COUNTIF(L236:Q236,"X")=COUNTA(Model!$B$12:$B$17),"ALL",_xlfn.TEXTJOIN(", ",TRUE(),IF(L236="X",L$4,""),IF(M236="X",M$4,""),IF(N236="X",N$4,""),IF(O236="X",O$4,""),IF(P236="X",P$4,""),IF(Q236="X",Q$4,"")))))</f>
        <v/>
      </c>
      <c r="S236" s="6" t="str">
        <f aca="false">IF(B236="","",IF(B236&gt;B235+1,"Level skips a step",IF(AND(B236&gt;0,OR(H236="",H236&lt;=0)),"Qty missing or 0",IF(AND(J236="Existing",K236=""),"Existing ID missing",IF(AND(B236=Model!$B$8+1,COUNTIF(L236:Q236,"X")=0),"Not in any variant",IF(AND(NOT(B236=Model!$B$8+1),COUNTIF(L236:Q236,"X")&gt;0),"X outside configured item","OK"))))))</f>
        <v/>
      </c>
    </row>
    <row r="237" customFormat="false" ht="15" hidden="false" customHeight="false" outlineLevel="0" collapsed="false">
      <c r="A237" s="17" t="str">
        <f aca="false">IF(B237="","",ROW()-4)</f>
        <v/>
      </c>
      <c r="B237" s="18"/>
      <c r="C237" s="18"/>
      <c r="D237" s="18"/>
      <c r="E237" s="12"/>
      <c r="F237" s="18"/>
      <c r="G237" s="18"/>
      <c r="H237" s="18"/>
      <c r="I237" s="18"/>
      <c r="J237" s="18"/>
      <c r="K237" s="18"/>
      <c r="L237" s="19"/>
      <c r="M237" s="19"/>
      <c r="N237" s="19"/>
      <c r="O237" s="19"/>
      <c r="P237" s="19"/>
      <c r="Q237" s="19"/>
      <c r="R237" s="6" t="str">
        <f aca="false">IF(B237="","",IF(COUNTIF(L237:Q237,"X")=0,"",IF(COUNTIF(L237:Q237,"X")=COUNTA(Model!$B$12:$B$17),"ALL",_xlfn.TEXTJOIN(", ",TRUE(),IF(L237="X",L$4,""),IF(M237="X",M$4,""),IF(N237="X",N$4,""),IF(O237="X",O$4,""),IF(P237="X",P$4,""),IF(Q237="X",Q$4,"")))))</f>
        <v/>
      </c>
      <c r="S237" s="6" t="str">
        <f aca="false">IF(B237="","",IF(B237&gt;B236+1,"Level skips a step",IF(AND(B237&gt;0,OR(H237="",H237&lt;=0)),"Qty missing or 0",IF(AND(J237="Existing",K237=""),"Existing ID missing",IF(AND(B237=Model!$B$8+1,COUNTIF(L237:Q237,"X")=0),"Not in any variant",IF(AND(NOT(B237=Model!$B$8+1),COUNTIF(L237:Q237,"X")&gt;0),"X outside configured item","OK"))))))</f>
        <v/>
      </c>
    </row>
    <row r="238" customFormat="false" ht="15" hidden="false" customHeight="false" outlineLevel="0" collapsed="false">
      <c r="A238" s="17" t="str">
        <f aca="false">IF(B238="","",ROW()-4)</f>
        <v/>
      </c>
      <c r="B238" s="18"/>
      <c r="C238" s="18"/>
      <c r="D238" s="18"/>
      <c r="E238" s="12"/>
      <c r="F238" s="18"/>
      <c r="G238" s="18"/>
      <c r="H238" s="18"/>
      <c r="I238" s="18"/>
      <c r="J238" s="18"/>
      <c r="K238" s="18"/>
      <c r="L238" s="19"/>
      <c r="M238" s="19"/>
      <c r="N238" s="19"/>
      <c r="O238" s="19"/>
      <c r="P238" s="19"/>
      <c r="Q238" s="19"/>
      <c r="R238" s="6" t="str">
        <f aca="false">IF(B238="","",IF(COUNTIF(L238:Q238,"X")=0,"",IF(COUNTIF(L238:Q238,"X")=COUNTA(Model!$B$12:$B$17),"ALL",_xlfn.TEXTJOIN(", ",TRUE(),IF(L238="X",L$4,""),IF(M238="X",M$4,""),IF(N238="X",N$4,""),IF(O238="X",O$4,""),IF(P238="X",P$4,""),IF(Q238="X",Q$4,"")))))</f>
        <v/>
      </c>
      <c r="S238" s="6" t="str">
        <f aca="false">IF(B238="","",IF(B238&gt;B237+1,"Level skips a step",IF(AND(B238&gt;0,OR(H238="",H238&lt;=0)),"Qty missing or 0",IF(AND(J238="Existing",K238=""),"Existing ID missing",IF(AND(B238=Model!$B$8+1,COUNTIF(L238:Q238,"X")=0),"Not in any variant",IF(AND(NOT(B238=Model!$B$8+1),COUNTIF(L238:Q238,"X")&gt;0),"X outside configured item","OK"))))))</f>
        <v/>
      </c>
    </row>
    <row r="239" customFormat="false" ht="15" hidden="false" customHeight="false" outlineLevel="0" collapsed="false">
      <c r="A239" s="17" t="str">
        <f aca="false">IF(B239="","",ROW()-4)</f>
        <v/>
      </c>
      <c r="B239" s="18"/>
      <c r="C239" s="18"/>
      <c r="D239" s="18"/>
      <c r="E239" s="12"/>
      <c r="F239" s="18"/>
      <c r="G239" s="18"/>
      <c r="H239" s="18"/>
      <c r="I239" s="18"/>
      <c r="J239" s="18"/>
      <c r="K239" s="18"/>
      <c r="L239" s="19"/>
      <c r="M239" s="19"/>
      <c r="N239" s="19"/>
      <c r="O239" s="19"/>
      <c r="P239" s="19"/>
      <c r="Q239" s="19"/>
      <c r="R239" s="6" t="str">
        <f aca="false">IF(B239="","",IF(COUNTIF(L239:Q239,"X")=0,"",IF(COUNTIF(L239:Q239,"X")=COUNTA(Model!$B$12:$B$17),"ALL",_xlfn.TEXTJOIN(", ",TRUE(),IF(L239="X",L$4,""),IF(M239="X",M$4,""),IF(N239="X",N$4,""),IF(O239="X",O$4,""),IF(P239="X",P$4,""),IF(Q239="X",Q$4,"")))))</f>
        <v/>
      </c>
      <c r="S239" s="6" t="str">
        <f aca="false">IF(B239="","",IF(B239&gt;B238+1,"Level skips a step",IF(AND(B239&gt;0,OR(H239="",H239&lt;=0)),"Qty missing or 0",IF(AND(J239="Existing",K239=""),"Existing ID missing",IF(AND(B239=Model!$B$8+1,COUNTIF(L239:Q239,"X")=0),"Not in any variant",IF(AND(NOT(B239=Model!$B$8+1),COUNTIF(L239:Q239,"X")&gt;0),"X outside configured item","OK"))))))</f>
        <v/>
      </c>
    </row>
    <row r="240" customFormat="false" ht="15" hidden="false" customHeight="false" outlineLevel="0" collapsed="false">
      <c r="A240" s="17" t="str">
        <f aca="false">IF(B240="","",ROW()-4)</f>
        <v/>
      </c>
      <c r="B240" s="18"/>
      <c r="C240" s="18"/>
      <c r="D240" s="18"/>
      <c r="E240" s="12"/>
      <c r="F240" s="18"/>
      <c r="G240" s="18"/>
      <c r="H240" s="18"/>
      <c r="I240" s="18"/>
      <c r="J240" s="18"/>
      <c r="K240" s="18"/>
      <c r="L240" s="19"/>
      <c r="M240" s="19"/>
      <c r="N240" s="19"/>
      <c r="O240" s="19"/>
      <c r="P240" s="19"/>
      <c r="Q240" s="19"/>
      <c r="R240" s="6" t="str">
        <f aca="false">IF(B240="","",IF(COUNTIF(L240:Q240,"X")=0,"",IF(COUNTIF(L240:Q240,"X")=COUNTA(Model!$B$12:$B$17),"ALL",_xlfn.TEXTJOIN(", ",TRUE(),IF(L240="X",L$4,""),IF(M240="X",M$4,""),IF(N240="X",N$4,""),IF(O240="X",O$4,""),IF(P240="X",P$4,""),IF(Q240="X",Q$4,"")))))</f>
        <v/>
      </c>
      <c r="S240" s="6" t="str">
        <f aca="false">IF(B240="","",IF(B240&gt;B239+1,"Level skips a step",IF(AND(B240&gt;0,OR(H240="",H240&lt;=0)),"Qty missing or 0",IF(AND(J240="Existing",K240=""),"Existing ID missing",IF(AND(B240=Model!$B$8+1,COUNTIF(L240:Q240,"X")=0),"Not in any variant",IF(AND(NOT(B240=Model!$B$8+1),COUNTIF(L240:Q240,"X")&gt;0),"X outside configured item","OK"))))))</f>
        <v/>
      </c>
    </row>
    <row r="241" customFormat="false" ht="15" hidden="false" customHeight="false" outlineLevel="0" collapsed="false">
      <c r="A241" s="17" t="str">
        <f aca="false">IF(B241="","",ROW()-4)</f>
        <v/>
      </c>
      <c r="B241" s="18"/>
      <c r="C241" s="18"/>
      <c r="D241" s="18"/>
      <c r="E241" s="12"/>
      <c r="F241" s="18"/>
      <c r="G241" s="18"/>
      <c r="H241" s="18"/>
      <c r="I241" s="18"/>
      <c r="J241" s="18"/>
      <c r="K241" s="18"/>
      <c r="L241" s="19"/>
      <c r="M241" s="19"/>
      <c r="N241" s="19"/>
      <c r="O241" s="19"/>
      <c r="P241" s="19"/>
      <c r="Q241" s="19"/>
      <c r="R241" s="6" t="str">
        <f aca="false">IF(B241="","",IF(COUNTIF(L241:Q241,"X")=0,"",IF(COUNTIF(L241:Q241,"X")=COUNTA(Model!$B$12:$B$17),"ALL",_xlfn.TEXTJOIN(", ",TRUE(),IF(L241="X",L$4,""),IF(M241="X",M$4,""),IF(N241="X",N$4,""),IF(O241="X",O$4,""),IF(P241="X",P$4,""),IF(Q241="X",Q$4,"")))))</f>
        <v/>
      </c>
      <c r="S241" s="6" t="str">
        <f aca="false">IF(B241="","",IF(B241&gt;B240+1,"Level skips a step",IF(AND(B241&gt;0,OR(H241="",H241&lt;=0)),"Qty missing or 0",IF(AND(J241="Existing",K241=""),"Existing ID missing",IF(AND(B241=Model!$B$8+1,COUNTIF(L241:Q241,"X")=0),"Not in any variant",IF(AND(NOT(B241=Model!$B$8+1),COUNTIF(L241:Q241,"X")&gt;0),"X outside configured item","OK"))))))</f>
        <v/>
      </c>
    </row>
    <row r="242" customFormat="false" ht="15" hidden="false" customHeight="false" outlineLevel="0" collapsed="false">
      <c r="A242" s="17" t="str">
        <f aca="false">IF(B242="","",ROW()-4)</f>
        <v/>
      </c>
      <c r="B242" s="18"/>
      <c r="C242" s="18"/>
      <c r="D242" s="18"/>
      <c r="E242" s="12"/>
      <c r="F242" s="18"/>
      <c r="G242" s="18"/>
      <c r="H242" s="18"/>
      <c r="I242" s="18"/>
      <c r="J242" s="18"/>
      <c r="K242" s="18"/>
      <c r="L242" s="19"/>
      <c r="M242" s="19"/>
      <c r="N242" s="19"/>
      <c r="O242" s="19"/>
      <c r="P242" s="19"/>
      <c r="Q242" s="19"/>
      <c r="R242" s="6" t="str">
        <f aca="false">IF(B242="","",IF(COUNTIF(L242:Q242,"X")=0,"",IF(COUNTIF(L242:Q242,"X")=COUNTA(Model!$B$12:$B$17),"ALL",_xlfn.TEXTJOIN(", ",TRUE(),IF(L242="X",L$4,""),IF(M242="X",M$4,""),IF(N242="X",N$4,""),IF(O242="X",O$4,""),IF(P242="X",P$4,""),IF(Q242="X",Q$4,"")))))</f>
        <v/>
      </c>
      <c r="S242" s="6" t="str">
        <f aca="false">IF(B242="","",IF(B242&gt;B241+1,"Level skips a step",IF(AND(B242&gt;0,OR(H242="",H242&lt;=0)),"Qty missing or 0",IF(AND(J242="Existing",K242=""),"Existing ID missing",IF(AND(B242=Model!$B$8+1,COUNTIF(L242:Q242,"X")=0),"Not in any variant",IF(AND(NOT(B242=Model!$B$8+1),COUNTIF(L242:Q242,"X")&gt;0),"X outside configured item","OK"))))))</f>
        <v/>
      </c>
    </row>
    <row r="243" customFormat="false" ht="15" hidden="false" customHeight="false" outlineLevel="0" collapsed="false">
      <c r="A243" s="17" t="str">
        <f aca="false">IF(B243="","",ROW()-4)</f>
        <v/>
      </c>
      <c r="B243" s="18"/>
      <c r="C243" s="18"/>
      <c r="D243" s="18"/>
      <c r="E243" s="12"/>
      <c r="F243" s="18"/>
      <c r="G243" s="18"/>
      <c r="H243" s="18"/>
      <c r="I243" s="18"/>
      <c r="J243" s="18"/>
      <c r="K243" s="18"/>
      <c r="L243" s="19"/>
      <c r="M243" s="19"/>
      <c r="N243" s="19"/>
      <c r="O243" s="19"/>
      <c r="P243" s="19"/>
      <c r="Q243" s="19"/>
      <c r="R243" s="6" t="str">
        <f aca="false">IF(B243="","",IF(COUNTIF(L243:Q243,"X")=0,"",IF(COUNTIF(L243:Q243,"X")=COUNTA(Model!$B$12:$B$17),"ALL",_xlfn.TEXTJOIN(", ",TRUE(),IF(L243="X",L$4,""),IF(M243="X",M$4,""),IF(N243="X",N$4,""),IF(O243="X",O$4,""),IF(P243="X",P$4,""),IF(Q243="X",Q$4,"")))))</f>
        <v/>
      </c>
      <c r="S243" s="6" t="str">
        <f aca="false">IF(B243="","",IF(B243&gt;B242+1,"Level skips a step",IF(AND(B243&gt;0,OR(H243="",H243&lt;=0)),"Qty missing or 0",IF(AND(J243="Existing",K243=""),"Existing ID missing",IF(AND(B243=Model!$B$8+1,COUNTIF(L243:Q243,"X")=0),"Not in any variant",IF(AND(NOT(B243=Model!$B$8+1),COUNTIF(L243:Q243,"X")&gt;0),"X outside configured item","OK"))))))</f>
        <v/>
      </c>
    </row>
    <row r="244" customFormat="false" ht="15" hidden="false" customHeight="false" outlineLevel="0" collapsed="false">
      <c r="A244" s="17" t="str">
        <f aca="false">IF(B244="","",ROW()-4)</f>
        <v/>
      </c>
      <c r="B244" s="18"/>
      <c r="C244" s="18"/>
      <c r="D244" s="18"/>
      <c r="E244" s="12"/>
      <c r="F244" s="18"/>
      <c r="G244" s="18"/>
      <c r="H244" s="18"/>
      <c r="I244" s="18"/>
      <c r="J244" s="18"/>
      <c r="K244" s="18"/>
      <c r="L244" s="19"/>
      <c r="M244" s="19"/>
      <c r="N244" s="19"/>
      <c r="O244" s="19"/>
      <c r="P244" s="19"/>
      <c r="Q244" s="19"/>
      <c r="R244" s="6" t="str">
        <f aca="false">IF(B244="","",IF(COUNTIF(L244:Q244,"X")=0,"",IF(COUNTIF(L244:Q244,"X")=COUNTA(Model!$B$12:$B$17),"ALL",_xlfn.TEXTJOIN(", ",TRUE(),IF(L244="X",L$4,""),IF(M244="X",M$4,""),IF(N244="X",N$4,""),IF(O244="X",O$4,""),IF(P244="X",P$4,""),IF(Q244="X",Q$4,"")))))</f>
        <v/>
      </c>
      <c r="S244" s="6" t="str">
        <f aca="false">IF(B244="","",IF(B244&gt;B243+1,"Level skips a step",IF(AND(B244&gt;0,OR(H244="",H244&lt;=0)),"Qty missing or 0",IF(AND(J244="Existing",K244=""),"Existing ID missing",IF(AND(B244=Model!$B$8+1,COUNTIF(L244:Q244,"X")=0),"Not in any variant",IF(AND(NOT(B244=Model!$B$8+1),COUNTIF(L244:Q244,"X")&gt;0),"X outside configured item","OK"))))))</f>
        <v/>
      </c>
    </row>
    <row r="245" customFormat="false" ht="15" hidden="false" customHeight="false" outlineLevel="0" collapsed="false">
      <c r="A245" s="17" t="str">
        <f aca="false">IF(B245="","",ROW()-4)</f>
        <v/>
      </c>
      <c r="B245" s="18"/>
      <c r="C245" s="18"/>
      <c r="D245" s="18"/>
      <c r="E245" s="12"/>
      <c r="F245" s="18"/>
      <c r="G245" s="18"/>
      <c r="H245" s="18"/>
      <c r="I245" s="18"/>
      <c r="J245" s="18"/>
      <c r="K245" s="18"/>
      <c r="L245" s="19"/>
      <c r="M245" s="19"/>
      <c r="N245" s="19"/>
      <c r="O245" s="19"/>
      <c r="P245" s="19"/>
      <c r="Q245" s="19"/>
      <c r="R245" s="6" t="str">
        <f aca="false">IF(B245="","",IF(COUNTIF(L245:Q245,"X")=0,"",IF(COUNTIF(L245:Q245,"X")=COUNTA(Model!$B$12:$B$17),"ALL",_xlfn.TEXTJOIN(", ",TRUE(),IF(L245="X",L$4,""),IF(M245="X",M$4,""),IF(N245="X",N$4,""),IF(O245="X",O$4,""),IF(P245="X",P$4,""),IF(Q245="X",Q$4,"")))))</f>
        <v/>
      </c>
      <c r="S245" s="6" t="str">
        <f aca="false">IF(B245="","",IF(B245&gt;B244+1,"Level skips a step",IF(AND(B245&gt;0,OR(H245="",H245&lt;=0)),"Qty missing or 0",IF(AND(J245="Existing",K245=""),"Existing ID missing",IF(AND(B245=Model!$B$8+1,COUNTIF(L245:Q245,"X")=0),"Not in any variant",IF(AND(NOT(B245=Model!$B$8+1),COUNTIF(L245:Q245,"X")&gt;0),"X outside configured item","OK"))))))</f>
        <v/>
      </c>
    </row>
    <row r="246" customFormat="false" ht="15" hidden="false" customHeight="false" outlineLevel="0" collapsed="false">
      <c r="A246" s="17" t="str">
        <f aca="false">IF(B246="","",ROW()-4)</f>
        <v/>
      </c>
      <c r="B246" s="18"/>
      <c r="C246" s="18"/>
      <c r="D246" s="18"/>
      <c r="E246" s="12"/>
      <c r="F246" s="18"/>
      <c r="G246" s="18"/>
      <c r="H246" s="18"/>
      <c r="I246" s="18"/>
      <c r="J246" s="18"/>
      <c r="K246" s="18"/>
      <c r="L246" s="19"/>
      <c r="M246" s="19"/>
      <c r="N246" s="19"/>
      <c r="O246" s="19"/>
      <c r="P246" s="19"/>
      <c r="Q246" s="19"/>
      <c r="R246" s="6" t="str">
        <f aca="false">IF(B246="","",IF(COUNTIF(L246:Q246,"X")=0,"",IF(COUNTIF(L246:Q246,"X")=COUNTA(Model!$B$12:$B$17),"ALL",_xlfn.TEXTJOIN(", ",TRUE(),IF(L246="X",L$4,""),IF(M246="X",M$4,""),IF(N246="X",N$4,""),IF(O246="X",O$4,""),IF(P246="X",P$4,""),IF(Q246="X",Q$4,"")))))</f>
        <v/>
      </c>
      <c r="S246" s="6" t="str">
        <f aca="false">IF(B246="","",IF(B246&gt;B245+1,"Level skips a step",IF(AND(B246&gt;0,OR(H246="",H246&lt;=0)),"Qty missing or 0",IF(AND(J246="Existing",K246=""),"Existing ID missing",IF(AND(B246=Model!$B$8+1,COUNTIF(L246:Q246,"X")=0),"Not in any variant",IF(AND(NOT(B246=Model!$B$8+1),COUNTIF(L246:Q246,"X")&gt;0),"X outside configured item","OK"))))))</f>
        <v/>
      </c>
    </row>
    <row r="247" customFormat="false" ht="15" hidden="false" customHeight="false" outlineLevel="0" collapsed="false">
      <c r="A247" s="17" t="str">
        <f aca="false">IF(B247="","",ROW()-4)</f>
        <v/>
      </c>
      <c r="B247" s="18"/>
      <c r="C247" s="18"/>
      <c r="D247" s="18"/>
      <c r="E247" s="12"/>
      <c r="F247" s="18"/>
      <c r="G247" s="18"/>
      <c r="H247" s="18"/>
      <c r="I247" s="18"/>
      <c r="J247" s="18"/>
      <c r="K247" s="18"/>
      <c r="L247" s="19"/>
      <c r="M247" s="19"/>
      <c r="N247" s="19"/>
      <c r="O247" s="19"/>
      <c r="P247" s="19"/>
      <c r="Q247" s="19"/>
      <c r="R247" s="6" t="str">
        <f aca="false">IF(B247="","",IF(COUNTIF(L247:Q247,"X")=0,"",IF(COUNTIF(L247:Q247,"X")=COUNTA(Model!$B$12:$B$17),"ALL",_xlfn.TEXTJOIN(", ",TRUE(),IF(L247="X",L$4,""),IF(M247="X",M$4,""),IF(N247="X",N$4,""),IF(O247="X",O$4,""),IF(P247="X",P$4,""),IF(Q247="X",Q$4,"")))))</f>
        <v/>
      </c>
      <c r="S247" s="6" t="str">
        <f aca="false">IF(B247="","",IF(B247&gt;B246+1,"Level skips a step",IF(AND(B247&gt;0,OR(H247="",H247&lt;=0)),"Qty missing or 0",IF(AND(J247="Existing",K247=""),"Existing ID missing",IF(AND(B247=Model!$B$8+1,COUNTIF(L247:Q247,"X")=0),"Not in any variant",IF(AND(NOT(B247=Model!$B$8+1),COUNTIF(L247:Q247,"X")&gt;0),"X outside configured item","OK"))))))</f>
        <v/>
      </c>
    </row>
    <row r="248" customFormat="false" ht="15" hidden="false" customHeight="false" outlineLevel="0" collapsed="false">
      <c r="A248" s="17" t="str">
        <f aca="false">IF(B248="","",ROW()-4)</f>
        <v/>
      </c>
      <c r="B248" s="18"/>
      <c r="C248" s="18"/>
      <c r="D248" s="18"/>
      <c r="E248" s="12"/>
      <c r="F248" s="18"/>
      <c r="G248" s="18"/>
      <c r="H248" s="18"/>
      <c r="I248" s="18"/>
      <c r="J248" s="18"/>
      <c r="K248" s="18"/>
      <c r="L248" s="19"/>
      <c r="M248" s="19"/>
      <c r="N248" s="19"/>
      <c r="O248" s="19"/>
      <c r="P248" s="19"/>
      <c r="Q248" s="19"/>
      <c r="R248" s="6" t="str">
        <f aca="false">IF(B248="","",IF(COUNTIF(L248:Q248,"X")=0,"",IF(COUNTIF(L248:Q248,"X")=COUNTA(Model!$B$12:$B$17),"ALL",_xlfn.TEXTJOIN(", ",TRUE(),IF(L248="X",L$4,""),IF(M248="X",M$4,""),IF(N248="X",N$4,""),IF(O248="X",O$4,""),IF(P248="X",P$4,""),IF(Q248="X",Q$4,"")))))</f>
        <v/>
      </c>
      <c r="S248" s="6" t="str">
        <f aca="false">IF(B248="","",IF(B248&gt;B247+1,"Level skips a step",IF(AND(B248&gt;0,OR(H248="",H248&lt;=0)),"Qty missing or 0",IF(AND(J248="Existing",K248=""),"Existing ID missing",IF(AND(B248=Model!$B$8+1,COUNTIF(L248:Q248,"X")=0),"Not in any variant",IF(AND(NOT(B248=Model!$B$8+1),COUNTIF(L248:Q248,"X")&gt;0),"X outside configured item","OK"))))))</f>
        <v/>
      </c>
    </row>
    <row r="249" customFormat="false" ht="15" hidden="false" customHeight="false" outlineLevel="0" collapsed="false">
      <c r="A249" s="17" t="str">
        <f aca="false">IF(B249="","",ROW()-4)</f>
        <v/>
      </c>
      <c r="B249" s="18"/>
      <c r="C249" s="18"/>
      <c r="D249" s="18"/>
      <c r="E249" s="12"/>
      <c r="F249" s="18"/>
      <c r="G249" s="18"/>
      <c r="H249" s="18"/>
      <c r="I249" s="18"/>
      <c r="J249" s="18"/>
      <c r="K249" s="18"/>
      <c r="L249" s="19"/>
      <c r="M249" s="19"/>
      <c r="N249" s="19"/>
      <c r="O249" s="19"/>
      <c r="P249" s="19"/>
      <c r="Q249" s="19"/>
      <c r="R249" s="6" t="str">
        <f aca="false">IF(B249="","",IF(COUNTIF(L249:Q249,"X")=0,"",IF(COUNTIF(L249:Q249,"X")=COUNTA(Model!$B$12:$B$17),"ALL",_xlfn.TEXTJOIN(", ",TRUE(),IF(L249="X",L$4,""),IF(M249="X",M$4,""),IF(N249="X",N$4,""),IF(O249="X",O$4,""),IF(P249="X",P$4,""),IF(Q249="X",Q$4,"")))))</f>
        <v/>
      </c>
      <c r="S249" s="6" t="str">
        <f aca="false">IF(B249="","",IF(B249&gt;B248+1,"Level skips a step",IF(AND(B249&gt;0,OR(H249="",H249&lt;=0)),"Qty missing or 0",IF(AND(J249="Existing",K249=""),"Existing ID missing",IF(AND(B249=Model!$B$8+1,COUNTIF(L249:Q249,"X")=0),"Not in any variant",IF(AND(NOT(B249=Model!$B$8+1),COUNTIF(L249:Q249,"X")&gt;0),"X outside configured item","OK"))))))</f>
        <v/>
      </c>
    </row>
    <row r="250" customFormat="false" ht="15" hidden="false" customHeight="false" outlineLevel="0" collapsed="false">
      <c r="A250" s="17" t="str">
        <f aca="false">IF(B250="","",ROW()-4)</f>
        <v/>
      </c>
      <c r="B250" s="18"/>
      <c r="C250" s="18"/>
      <c r="D250" s="18"/>
      <c r="E250" s="12"/>
      <c r="F250" s="18"/>
      <c r="G250" s="18"/>
      <c r="H250" s="18"/>
      <c r="I250" s="18"/>
      <c r="J250" s="18"/>
      <c r="K250" s="18"/>
      <c r="L250" s="19"/>
      <c r="M250" s="19"/>
      <c r="N250" s="19"/>
      <c r="O250" s="19"/>
      <c r="P250" s="19"/>
      <c r="Q250" s="19"/>
      <c r="R250" s="6" t="str">
        <f aca="false">IF(B250="","",IF(COUNTIF(L250:Q250,"X")=0,"",IF(COUNTIF(L250:Q250,"X")=COUNTA(Model!$B$12:$B$17),"ALL",_xlfn.TEXTJOIN(", ",TRUE(),IF(L250="X",L$4,""),IF(M250="X",M$4,""),IF(N250="X",N$4,""),IF(O250="X",O$4,""),IF(P250="X",P$4,""),IF(Q250="X",Q$4,"")))))</f>
        <v/>
      </c>
      <c r="S250" s="6" t="str">
        <f aca="false">IF(B250="","",IF(B250&gt;B249+1,"Level skips a step",IF(AND(B250&gt;0,OR(H250="",H250&lt;=0)),"Qty missing or 0",IF(AND(J250="Existing",K250=""),"Existing ID missing",IF(AND(B250=Model!$B$8+1,COUNTIF(L250:Q250,"X")=0),"Not in any variant",IF(AND(NOT(B250=Model!$B$8+1),COUNTIF(L250:Q250,"X")&gt;0),"X outside configured item","OK"))))))</f>
        <v/>
      </c>
    </row>
    <row r="251" customFormat="false" ht="15" hidden="false" customHeight="false" outlineLevel="0" collapsed="false">
      <c r="A251" s="17" t="str">
        <f aca="false">IF(B251="","",ROW()-4)</f>
        <v/>
      </c>
      <c r="B251" s="18"/>
      <c r="C251" s="18"/>
      <c r="D251" s="18"/>
      <c r="E251" s="12"/>
      <c r="F251" s="18"/>
      <c r="G251" s="18"/>
      <c r="H251" s="18"/>
      <c r="I251" s="18"/>
      <c r="J251" s="18"/>
      <c r="K251" s="18"/>
      <c r="L251" s="19"/>
      <c r="M251" s="19"/>
      <c r="N251" s="19"/>
      <c r="O251" s="19"/>
      <c r="P251" s="19"/>
      <c r="Q251" s="19"/>
      <c r="R251" s="6" t="str">
        <f aca="false">IF(B251="","",IF(COUNTIF(L251:Q251,"X")=0,"",IF(COUNTIF(L251:Q251,"X")=COUNTA(Model!$B$12:$B$17),"ALL",_xlfn.TEXTJOIN(", ",TRUE(),IF(L251="X",L$4,""),IF(M251="X",M$4,""),IF(N251="X",N$4,""),IF(O251="X",O$4,""),IF(P251="X",P$4,""),IF(Q251="X",Q$4,"")))))</f>
        <v/>
      </c>
      <c r="S251" s="6" t="str">
        <f aca="false">IF(B251="","",IF(B251&gt;B250+1,"Level skips a step",IF(AND(B251&gt;0,OR(H251="",H251&lt;=0)),"Qty missing or 0",IF(AND(J251="Existing",K251=""),"Existing ID missing",IF(AND(B251=Model!$B$8+1,COUNTIF(L251:Q251,"X")=0),"Not in any variant",IF(AND(NOT(B251=Model!$B$8+1),COUNTIF(L251:Q251,"X")&gt;0),"X outside configured item","OK"))))))</f>
        <v/>
      </c>
    </row>
    <row r="252" customFormat="false" ht="15" hidden="false" customHeight="false" outlineLevel="0" collapsed="false">
      <c r="A252" s="17" t="str">
        <f aca="false">IF(B252="","",ROW()-4)</f>
        <v/>
      </c>
      <c r="B252" s="18"/>
      <c r="C252" s="18"/>
      <c r="D252" s="18"/>
      <c r="E252" s="12"/>
      <c r="F252" s="18"/>
      <c r="G252" s="18"/>
      <c r="H252" s="18"/>
      <c r="I252" s="18"/>
      <c r="J252" s="18"/>
      <c r="K252" s="18"/>
      <c r="L252" s="19"/>
      <c r="M252" s="19"/>
      <c r="N252" s="19"/>
      <c r="O252" s="19"/>
      <c r="P252" s="19"/>
      <c r="Q252" s="19"/>
      <c r="R252" s="6" t="str">
        <f aca="false">IF(B252="","",IF(COUNTIF(L252:Q252,"X")=0,"",IF(COUNTIF(L252:Q252,"X")=COUNTA(Model!$B$12:$B$17),"ALL",_xlfn.TEXTJOIN(", ",TRUE(),IF(L252="X",L$4,""),IF(M252="X",M$4,""),IF(N252="X",N$4,""),IF(O252="X",O$4,""),IF(P252="X",P$4,""),IF(Q252="X",Q$4,"")))))</f>
        <v/>
      </c>
      <c r="S252" s="6" t="str">
        <f aca="false">IF(B252="","",IF(B252&gt;B251+1,"Level skips a step",IF(AND(B252&gt;0,OR(H252="",H252&lt;=0)),"Qty missing or 0",IF(AND(J252="Existing",K252=""),"Existing ID missing",IF(AND(B252=Model!$B$8+1,COUNTIF(L252:Q252,"X")=0),"Not in any variant",IF(AND(NOT(B252=Model!$B$8+1),COUNTIF(L252:Q252,"X")&gt;0),"X outside configured item","OK"))))))</f>
        <v/>
      </c>
    </row>
    <row r="253" customFormat="false" ht="15" hidden="false" customHeight="false" outlineLevel="0" collapsed="false">
      <c r="A253" s="17" t="str">
        <f aca="false">IF(B253="","",ROW()-4)</f>
        <v/>
      </c>
      <c r="B253" s="18"/>
      <c r="C253" s="18"/>
      <c r="D253" s="18"/>
      <c r="E253" s="12"/>
      <c r="F253" s="18"/>
      <c r="G253" s="18"/>
      <c r="H253" s="18"/>
      <c r="I253" s="18"/>
      <c r="J253" s="18"/>
      <c r="K253" s="18"/>
      <c r="L253" s="19"/>
      <c r="M253" s="19"/>
      <c r="N253" s="19"/>
      <c r="O253" s="19"/>
      <c r="P253" s="19"/>
      <c r="Q253" s="19"/>
      <c r="R253" s="6" t="str">
        <f aca="false">IF(B253="","",IF(COUNTIF(L253:Q253,"X")=0,"",IF(COUNTIF(L253:Q253,"X")=COUNTA(Model!$B$12:$B$17),"ALL",_xlfn.TEXTJOIN(", ",TRUE(),IF(L253="X",L$4,""),IF(M253="X",M$4,""),IF(N253="X",N$4,""),IF(O253="X",O$4,""),IF(P253="X",P$4,""),IF(Q253="X",Q$4,"")))))</f>
        <v/>
      </c>
      <c r="S253" s="6" t="str">
        <f aca="false">IF(B253="","",IF(B253&gt;B252+1,"Level skips a step",IF(AND(B253&gt;0,OR(H253="",H253&lt;=0)),"Qty missing or 0",IF(AND(J253="Existing",K253=""),"Existing ID missing",IF(AND(B253=Model!$B$8+1,COUNTIF(L253:Q253,"X")=0),"Not in any variant",IF(AND(NOT(B253=Model!$B$8+1),COUNTIF(L253:Q253,"X")&gt;0),"X outside configured item","OK"))))))</f>
        <v/>
      </c>
    </row>
    <row r="254" customFormat="false" ht="15" hidden="false" customHeight="false" outlineLevel="0" collapsed="false">
      <c r="A254" s="17" t="str">
        <f aca="false">IF(B254="","",ROW()-4)</f>
        <v/>
      </c>
      <c r="B254" s="18"/>
      <c r="C254" s="18"/>
      <c r="D254" s="18"/>
      <c r="E254" s="12"/>
      <c r="F254" s="18"/>
      <c r="G254" s="18"/>
      <c r="H254" s="18"/>
      <c r="I254" s="18"/>
      <c r="J254" s="18"/>
      <c r="K254" s="18"/>
      <c r="L254" s="19"/>
      <c r="M254" s="19"/>
      <c r="N254" s="19"/>
      <c r="O254" s="19"/>
      <c r="P254" s="19"/>
      <c r="Q254" s="19"/>
      <c r="R254" s="6" t="str">
        <f aca="false">IF(B254="","",IF(COUNTIF(L254:Q254,"X")=0,"",IF(COUNTIF(L254:Q254,"X")=COUNTA(Model!$B$12:$B$17),"ALL",_xlfn.TEXTJOIN(", ",TRUE(),IF(L254="X",L$4,""),IF(M254="X",M$4,""),IF(N254="X",N$4,""),IF(O254="X",O$4,""),IF(P254="X",P$4,""),IF(Q254="X",Q$4,"")))))</f>
        <v/>
      </c>
      <c r="S254" s="6" t="str">
        <f aca="false">IF(B254="","",IF(B254&gt;B253+1,"Level skips a step",IF(AND(B254&gt;0,OR(H254="",H254&lt;=0)),"Qty missing or 0",IF(AND(J254="Existing",K254=""),"Existing ID missing",IF(AND(B254=Model!$B$8+1,COUNTIF(L254:Q254,"X")=0),"Not in any variant",IF(AND(NOT(B254=Model!$B$8+1),COUNTIF(L254:Q254,"X")&gt;0),"X outside configured item","OK"))))))</f>
        <v/>
      </c>
    </row>
    <row r="255" customFormat="false" ht="15" hidden="false" customHeight="false" outlineLevel="0" collapsed="false">
      <c r="A255" s="17" t="str">
        <f aca="false">IF(B255="","",ROW()-4)</f>
        <v/>
      </c>
      <c r="B255" s="18"/>
      <c r="C255" s="18"/>
      <c r="D255" s="18"/>
      <c r="E255" s="12"/>
      <c r="F255" s="18"/>
      <c r="G255" s="18"/>
      <c r="H255" s="18"/>
      <c r="I255" s="18"/>
      <c r="J255" s="18"/>
      <c r="K255" s="18"/>
      <c r="L255" s="19"/>
      <c r="M255" s="19"/>
      <c r="N255" s="19"/>
      <c r="O255" s="19"/>
      <c r="P255" s="19"/>
      <c r="Q255" s="19"/>
      <c r="R255" s="6" t="str">
        <f aca="false">IF(B255="","",IF(COUNTIF(L255:Q255,"X")=0,"",IF(COUNTIF(L255:Q255,"X")=COUNTA(Model!$B$12:$B$17),"ALL",_xlfn.TEXTJOIN(", ",TRUE(),IF(L255="X",L$4,""),IF(M255="X",M$4,""),IF(N255="X",N$4,""),IF(O255="X",O$4,""),IF(P255="X",P$4,""),IF(Q255="X",Q$4,"")))))</f>
        <v/>
      </c>
      <c r="S255" s="6" t="str">
        <f aca="false">IF(B255="","",IF(B255&gt;B254+1,"Level skips a step",IF(AND(B255&gt;0,OR(H255="",H255&lt;=0)),"Qty missing or 0",IF(AND(J255="Existing",K255=""),"Existing ID missing",IF(AND(B255=Model!$B$8+1,COUNTIF(L255:Q255,"X")=0),"Not in any variant",IF(AND(NOT(B255=Model!$B$8+1),COUNTIF(L255:Q255,"X")&gt;0),"X outside configured item","OK"))))))</f>
        <v/>
      </c>
    </row>
    <row r="256" customFormat="false" ht="15" hidden="false" customHeight="false" outlineLevel="0" collapsed="false">
      <c r="A256" s="17" t="str">
        <f aca="false">IF(B256="","",ROW()-4)</f>
        <v/>
      </c>
      <c r="B256" s="18"/>
      <c r="C256" s="18"/>
      <c r="D256" s="18"/>
      <c r="E256" s="12"/>
      <c r="F256" s="18"/>
      <c r="G256" s="18"/>
      <c r="H256" s="18"/>
      <c r="I256" s="18"/>
      <c r="J256" s="18"/>
      <c r="K256" s="18"/>
      <c r="L256" s="19"/>
      <c r="M256" s="19"/>
      <c r="N256" s="19"/>
      <c r="O256" s="19"/>
      <c r="P256" s="19"/>
      <c r="Q256" s="19"/>
      <c r="R256" s="6" t="str">
        <f aca="false">IF(B256="","",IF(COUNTIF(L256:Q256,"X")=0,"",IF(COUNTIF(L256:Q256,"X")=COUNTA(Model!$B$12:$B$17),"ALL",_xlfn.TEXTJOIN(", ",TRUE(),IF(L256="X",L$4,""),IF(M256="X",M$4,""),IF(N256="X",N$4,""),IF(O256="X",O$4,""),IF(P256="X",P$4,""),IF(Q256="X",Q$4,"")))))</f>
        <v/>
      </c>
      <c r="S256" s="6" t="str">
        <f aca="false">IF(B256="","",IF(B256&gt;B255+1,"Level skips a step",IF(AND(B256&gt;0,OR(H256="",H256&lt;=0)),"Qty missing or 0",IF(AND(J256="Existing",K256=""),"Existing ID missing",IF(AND(B256=Model!$B$8+1,COUNTIF(L256:Q256,"X")=0),"Not in any variant",IF(AND(NOT(B256=Model!$B$8+1),COUNTIF(L256:Q256,"X")&gt;0),"X outside configured item","OK"))))))</f>
        <v/>
      </c>
    </row>
    <row r="257" customFormat="false" ht="15" hidden="false" customHeight="false" outlineLevel="0" collapsed="false">
      <c r="A257" s="17" t="str">
        <f aca="false">IF(B257="","",ROW()-4)</f>
        <v/>
      </c>
      <c r="B257" s="18"/>
      <c r="C257" s="18"/>
      <c r="D257" s="18"/>
      <c r="E257" s="12"/>
      <c r="F257" s="18"/>
      <c r="G257" s="18"/>
      <c r="H257" s="18"/>
      <c r="I257" s="18"/>
      <c r="J257" s="18"/>
      <c r="K257" s="18"/>
      <c r="L257" s="19"/>
      <c r="M257" s="19"/>
      <c r="N257" s="19"/>
      <c r="O257" s="19"/>
      <c r="P257" s="19"/>
      <c r="Q257" s="19"/>
      <c r="R257" s="6" t="str">
        <f aca="false">IF(B257="","",IF(COUNTIF(L257:Q257,"X")=0,"",IF(COUNTIF(L257:Q257,"X")=COUNTA(Model!$B$12:$B$17),"ALL",_xlfn.TEXTJOIN(", ",TRUE(),IF(L257="X",L$4,""),IF(M257="X",M$4,""),IF(N257="X",N$4,""),IF(O257="X",O$4,""),IF(P257="X",P$4,""),IF(Q257="X",Q$4,"")))))</f>
        <v/>
      </c>
      <c r="S257" s="6" t="str">
        <f aca="false">IF(B257="","",IF(B257&gt;B256+1,"Level skips a step",IF(AND(B257&gt;0,OR(H257="",H257&lt;=0)),"Qty missing or 0",IF(AND(J257="Existing",K257=""),"Existing ID missing",IF(AND(B257=Model!$B$8+1,COUNTIF(L257:Q257,"X")=0),"Not in any variant",IF(AND(NOT(B257=Model!$B$8+1),COUNTIF(L257:Q257,"X")&gt;0),"X outside configured item","OK"))))))</f>
        <v/>
      </c>
    </row>
    <row r="258" customFormat="false" ht="15" hidden="false" customHeight="false" outlineLevel="0" collapsed="false">
      <c r="A258" s="17" t="str">
        <f aca="false">IF(B258="","",ROW()-4)</f>
        <v/>
      </c>
      <c r="B258" s="18"/>
      <c r="C258" s="18"/>
      <c r="D258" s="18"/>
      <c r="E258" s="12"/>
      <c r="F258" s="18"/>
      <c r="G258" s="18"/>
      <c r="H258" s="18"/>
      <c r="I258" s="18"/>
      <c r="J258" s="18"/>
      <c r="K258" s="18"/>
      <c r="L258" s="19"/>
      <c r="M258" s="19"/>
      <c r="N258" s="19"/>
      <c r="O258" s="19"/>
      <c r="P258" s="19"/>
      <c r="Q258" s="19"/>
      <c r="R258" s="6" t="str">
        <f aca="false">IF(B258="","",IF(COUNTIF(L258:Q258,"X")=0,"",IF(COUNTIF(L258:Q258,"X")=COUNTA(Model!$B$12:$B$17),"ALL",_xlfn.TEXTJOIN(", ",TRUE(),IF(L258="X",L$4,""),IF(M258="X",M$4,""),IF(N258="X",N$4,""),IF(O258="X",O$4,""),IF(P258="X",P$4,""),IF(Q258="X",Q$4,"")))))</f>
        <v/>
      </c>
      <c r="S258" s="6" t="str">
        <f aca="false">IF(B258="","",IF(B258&gt;B257+1,"Level skips a step",IF(AND(B258&gt;0,OR(H258="",H258&lt;=0)),"Qty missing or 0",IF(AND(J258="Existing",K258=""),"Existing ID missing",IF(AND(B258=Model!$B$8+1,COUNTIF(L258:Q258,"X")=0),"Not in any variant",IF(AND(NOT(B258=Model!$B$8+1),COUNTIF(L258:Q258,"X")&gt;0),"X outside configured item","OK"))))))</f>
        <v/>
      </c>
    </row>
    <row r="259" customFormat="false" ht="15" hidden="false" customHeight="false" outlineLevel="0" collapsed="false">
      <c r="A259" s="17" t="str">
        <f aca="false">IF(B259="","",ROW()-4)</f>
        <v/>
      </c>
      <c r="B259" s="18"/>
      <c r="C259" s="18"/>
      <c r="D259" s="18"/>
      <c r="E259" s="12"/>
      <c r="F259" s="18"/>
      <c r="G259" s="18"/>
      <c r="H259" s="18"/>
      <c r="I259" s="18"/>
      <c r="J259" s="18"/>
      <c r="K259" s="18"/>
      <c r="L259" s="19"/>
      <c r="M259" s="19"/>
      <c r="N259" s="19"/>
      <c r="O259" s="19"/>
      <c r="P259" s="19"/>
      <c r="Q259" s="19"/>
      <c r="R259" s="6" t="str">
        <f aca="false">IF(B259="","",IF(COUNTIF(L259:Q259,"X")=0,"",IF(COUNTIF(L259:Q259,"X")=COUNTA(Model!$B$12:$B$17),"ALL",_xlfn.TEXTJOIN(", ",TRUE(),IF(L259="X",L$4,""),IF(M259="X",M$4,""),IF(N259="X",N$4,""),IF(O259="X",O$4,""),IF(P259="X",P$4,""),IF(Q259="X",Q$4,"")))))</f>
        <v/>
      </c>
      <c r="S259" s="6" t="str">
        <f aca="false">IF(B259="","",IF(B259&gt;B258+1,"Level skips a step",IF(AND(B259&gt;0,OR(H259="",H259&lt;=0)),"Qty missing or 0",IF(AND(J259="Existing",K259=""),"Existing ID missing",IF(AND(B259=Model!$B$8+1,COUNTIF(L259:Q259,"X")=0),"Not in any variant",IF(AND(NOT(B259=Model!$B$8+1),COUNTIF(L259:Q259,"X")&gt;0),"X outside configured item","OK"))))))</f>
        <v/>
      </c>
    </row>
    <row r="260" customFormat="false" ht="15" hidden="false" customHeight="false" outlineLevel="0" collapsed="false">
      <c r="A260" s="17" t="str">
        <f aca="false">IF(B260="","",ROW()-4)</f>
        <v/>
      </c>
      <c r="B260" s="18"/>
      <c r="C260" s="18"/>
      <c r="D260" s="18"/>
      <c r="E260" s="12"/>
      <c r="F260" s="18"/>
      <c r="G260" s="18"/>
      <c r="H260" s="18"/>
      <c r="I260" s="18"/>
      <c r="J260" s="18"/>
      <c r="K260" s="18"/>
      <c r="L260" s="19"/>
      <c r="M260" s="19"/>
      <c r="N260" s="19"/>
      <c r="O260" s="19"/>
      <c r="P260" s="19"/>
      <c r="Q260" s="19"/>
      <c r="R260" s="6" t="str">
        <f aca="false">IF(B260="","",IF(COUNTIF(L260:Q260,"X")=0,"",IF(COUNTIF(L260:Q260,"X")=COUNTA(Model!$B$12:$B$17),"ALL",_xlfn.TEXTJOIN(", ",TRUE(),IF(L260="X",L$4,""),IF(M260="X",M$4,""),IF(N260="X",N$4,""),IF(O260="X",O$4,""),IF(P260="X",P$4,""),IF(Q260="X",Q$4,"")))))</f>
        <v/>
      </c>
      <c r="S260" s="6" t="str">
        <f aca="false">IF(B260="","",IF(B260&gt;B259+1,"Level skips a step",IF(AND(B260&gt;0,OR(H260="",H260&lt;=0)),"Qty missing or 0",IF(AND(J260="Existing",K260=""),"Existing ID missing",IF(AND(B260=Model!$B$8+1,COUNTIF(L260:Q260,"X")=0),"Not in any variant",IF(AND(NOT(B260=Model!$B$8+1),COUNTIF(L260:Q260,"X")&gt;0),"X outside configured item","OK"))))))</f>
        <v/>
      </c>
    </row>
    <row r="261" customFormat="false" ht="15" hidden="false" customHeight="false" outlineLevel="0" collapsed="false">
      <c r="A261" s="17" t="str">
        <f aca="false">IF(B261="","",ROW()-4)</f>
        <v/>
      </c>
      <c r="B261" s="18"/>
      <c r="C261" s="18"/>
      <c r="D261" s="18"/>
      <c r="E261" s="12"/>
      <c r="F261" s="18"/>
      <c r="G261" s="18"/>
      <c r="H261" s="18"/>
      <c r="I261" s="18"/>
      <c r="J261" s="18"/>
      <c r="K261" s="18"/>
      <c r="L261" s="19"/>
      <c r="M261" s="19"/>
      <c r="N261" s="19"/>
      <c r="O261" s="19"/>
      <c r="P261" s="19"/>
      <c r="Q261" s="19"/>
      <c r="R261" s="6" t="str">
        <f aca="false">IF(B261="","",IF(COUNTIF(L261:Q261,"X")=0,"",IF(COUNTIF(L261:Q261,"X")=COUNTA(Model!$B$12:$B$17),"ALL",_xlfn.TEXTJOIN(", ",TRUE(),IF(L261="X",L$4,""),IF(M261="X",M$4,""),IF(N261="X",N$4,""),IF(O261="X",O$4,""),IF(P261="X",P$4,""),IF(Q261="X",Q$4,"")))))</f>
        <v/>
      </c>
      <c r="S261" s="6" t="str">
        <f aca="false">IF(B261="","",IF(B261&gt;B260+1,"Level skips a step",IF(AND(B261&gt;0,OR(H261="",H261&lt;=0)),"Qty missing or 0",IF(AND(J261="Existing",K261=""),"Existing ID missing",IF(AND(B261=Model!$B$8+1,COUNTIF(L261:Q261,"X")=0),"Not in any variant",IF(AND(NOT(B261=Model!$B$8+1),COUNTIF(L261:Q261,"X")&gt;0),"X outside configured item","OK"))))))</f>
        <v/>
      </c>
    </row>
    <row r="262" customFormat="false" ht="15" hidden="false" customHeight="false" outlineLevel="0" collapsed="false">
      <c r="A262" s="17" t="str">
        <f aca="false">IF(B262="","",ROW()-4)</f>
        <v/>
      </c>
      <c r="B262" s="18"/>
      <c r="C262" s="18"/>
      <c r="D262" s="18"/>
      <c r="E262" s="12"/>
      <c r="F262" s="18"/>
      <c r="G262" s="18"/>
      <c r="H262" s="18"/>
      <c r="I262" s="18"/>
      <c r="J262" s="18"/>
      <c r="K262" s="18"/>
      <c r="L262" s="19"/>
      <c r="M262" s="19"/>
      <c r="N262" s="19"/>
      <c r="O262" s="19"/>
      <c r="P262" s="19"/>
      <c r="Q262" s="19"/>
      <c r="R262" s="6" t="str">
        <f aca="false">IF(B262="","",IF(COUNTIF(L262:Q262,"X")=0,"",IF(COUNTIF(L262:Q262,"X")=COUNTA(Model!$B$12:$B$17),"ALL",_xlfn.TEXTJOIN(", ",TRUE(),IF(L262="X",L$4,""),IF(M262="X",M$4,""),IF(N262="X",N$4,""),IF(O262="X",O$4,""),IF(P262="X",P$4,""),IF(Q262="X",Q$4,"")))))</f>
        <v/>
      </c>
      <c r="S262" s="6" t="str">
        <f aca="false">IF(B262="","",IF(B262&gt;B261+1,"Level skips a step",IF(AND(B262&gt;0,OR(H262="",H262&lt;=0)),"Qty missing or 0",IF(AND(J262="Existing",K262=""),"Existing ID missing",IF(AND(B262=Model!$B$8+1,COUNTIF(L262:Q262,"X")=0),"Not in any variant",IF(AND(NOT(B262=Model!$B$8+1),COUNTIF(L262:Q262,"X")&gt;0),"X outside configured item","OK"))))))</f>
        <v/>
      </c>
    </row>
    <row r="263" customFormat="false" ht="15" hidden="false" customHeight="false" outlineLevel="0" collapsed="false">
      <c r="A263" s="17" t="str">
        <f aca="false">IF(B263="","",ROW()-4)</f>
        <v/>
      </c>
      <c r="B263" s="18"/>
      <c r="C263" s="18"/>
      <c r="D263" s="18"/>
      <c r="E263" s="12"/>
      <c r="F263" s="18"/>
      <c r="G263" s="18"/>
      <c r="H263" s="18"/>
      <c r="I263" s="18"/>
      <c r="J263" s="18"/>
      <c r="K263" s="18"/>
      <c r="L263" s="19"/>
      <c r="M263" s="19"/>
      <c r="N263" s="19"/>
      <c r="O263" s="19"/>
      <c r="P263" s="19"/>
      <c r="Q263" s="19"/>
      <c r="R263" s="6" t="str">
        <f aca="false">IF(B263="","",IF(COUNTIF(L263:Q263,"X")=0,"",IF(COUNTIF(L263:Q263,"X")=COUNTA(Model!$B$12:$B$17),"ALL",_xlfn.TEXTJOIN(", ",TRUE(),IF(L263="X",L$4,""),IF(M263="X",M$4,""),IF(N263="X",N$4,""),IF(O263="X",O$4,""),IF(P263="X",P$4,""),IF(Q263="X",Q$4,"")))))</f>
        <v/>
      </c>
      <c r="S263" s="6" t="str">
        <f aca="false">IF(B263="","",IF(B263&gt;B262+1,"Level skips a step",IF(AND(B263&gt;0,OR(H263="",H263&lt;=0)),"Qty missing or 0",IF(AND(J263="Existing",K263=""),"Existing ID missing",IF(AND(B263=Model!$B$8+1,COUNTIF(L263:Q263,"X")=0),"Not in any variant",IF(AND(NOT(B263=Model!$B$8+1),COUNTIF(L263:Q263,"X")&gt;0),"X outside configured item","OK"))))))</f>
        <v/>
      </c>
    </row>
    <row r="264" customFormat="false" ht="15" hidden="false" customHeight="false" outlineLevel="0" collapsed="false">
      <c r="A264" s="17" t="str">
        <f aca="false">IF(B264="","",ROW()-4)</f>
        <v/>
      </c>
      <c r="B264" s="18"/>
      <c r="C264" s="18"/>
      <c r="D264" s="18"/>
      <c r="E264" s="12"/>
      <c r="F264" s="18"/>
      <c r="G264" s="18"/>
      <c r="H264" s="18"/>
      <c r="I264" s="18"/>
      <c r="J264" s="18"/>
      <c r="K264" s="18"/>
      <c r="L264" s="19"/>
      <c r="M264" s="19"/>
      <c r="N264" s="19"/>
      <c r="O264" s="19"/>
      <c r="P264" s="19"/>
      <c r="Q264" s="19"/>
      <c r="R264" s="6" t="str">
        <f aca="false">IF(B264="","",IF(COUNTIF(L264:Q264,"X")=0,"",IF(COUNTIF(L264:Q264,"X")=COUNTA(Model!$B$12:$B$17),"ALL",_xlfn.TEXTJOIN(", ",TRUE(),IF(L264="X",L$4,""),IF(M264="X",M$4,""),IF(N264="X",N$4,""),IF(O264="X",O$4,""),IF(P264="X",P$4,""),IF(Q264="X",Q$4,"")))))</f>
        <v/>
      </c>
      <c r="S264" s="6" t="str">
        <f aca="false">IF(B264="","",IF(B264&gt;B263+1,"Level skips a step",IF(AND(B264&gt;0,OR(H264="",H264&lt;=0)),"Qty missing or 0",IF(AND(J264="Existing",K264=""),"Existing ID missing",IF(AND(B264=Model!$B$8+1,COUNTIF(L264:Q264,"X")=0),"Not in any variant",IF(AND(NOT(B264=Model!$B$8+1),COUNTIF(L264:Q264,"X")&gt;0),"X outside configured item","OK"))))))</f>
        <v/>
      </c>
    </row>
    <row r="265" customFormat="false" ht="15" hidden="false" customHeight="false" outlineLevel="0" collapsed="false">
      <c r="A265" s="17" t="str">
        <f aca="false">IF(B265="","",ROW()-4)</f>
        <v/>
      </c>
      <c r="B265" s="18"/>
      <c r="C265" s="18"/>
      <c r="D265" s="18"/>
      <c r="E265" s="12"/>
      <c r="F265" s="18"/>
      <c r="G265" s="18"/>
      <c r="H265" s="18"/>
      <c r="I265" s="18"/>
      <c r="J265" s="18"/>
      <c r="K265" s="18"/>
      <c r="L265" s="19"/>
      <c r="M265" s="19"/>
      <c r="N265" s="19"/>
      <c r="O265" s="19"/>
      <c r="P265" s="19"/>
      <c r="Q265" s="19"/>
      <c r="R265" s="6" t="str">
        <f aca="false">IF(B265="","",IF(COUNTIF(L265:Q265,"X")=0,"",IF(COUNTIF(L265:Q265,"X")=COUNTA(Model!$B$12:$B$17),"ALL",_xlfn.TEXTJOIN(", ",TRUE(),IF(L265="X",L$4,""),IF(M265="X",M$4,""),IF(N265="X",N$4,""),IF(O265="X",O$4,""),IF(P265="X",P$4,""),IF(Q265="X",Q$4,"")))))</f>
        <v/>
      </c>
      <c r="S265" s="6" t="str">
        <f aca="false">IF(B265="","",IF(B265&gt;B264+1,"Level skips a step",IF(AND(B265&gt;0,OR(H265="",H265&lt;=0)),"Qty missing or 0",IF(AND(J265="Existing",K265=""),"Existing ID missing",IF(AND(B265=Model!$B$8+1,COUNTIF(L265:Q265,"X")=0),"Not in any variant",IF(AND(NOT(B265=Model!$B$8+1),COUNTIF(L265:Q265,"X")&gt;0),"X outside configured item","OK"))))))</f>
        <v/>
      </c>
    </row>
    <row r="266" customFormat="false" ht="15" hidden="false" customHeight="false" outlineLevel="0" collapsed="false">
      <c r="A266" s="17" t="str">
        <f aca="false">IF(B266="","",ROW()-4)</f>
        <v/>
      </c>
      <c r="B266" s="18"/>
      <c r="C266" s="18"/>
      <c r="D266" s="18"/>
      <c r="E266" s="12"/>
      <c r="F266" s="18"/>
      <c r="G266" s="18"/>
      <c r="H266" s="18"/>
      <c r="I266" s="18"/>
      <c r="J266" s="18"/>
      <c r="K266" s="18"/>
      <c r="L266" s="19"/>
      <c r="M266" s="19"/>
      <c r="N266" s="19"/>
      <c r="O266" s="19"/>
      <c r="P266" s="19"/>
      <c r="Q266" s="19"/>
      <c r="R266" s="6" t="str">
        <f aca="false">IF(B266="","",IF(COUNTIF(L266:Q266,"X")=0,"",IF(COUNTIF(L266:Q266,"X")=COUNTA(Model!$B$12:$B$17),"ALL",_xlfn.TEXTJOIN(", ",TRUE(),IF(L266="X",L$4,""),IF(M266="X",M$4,""),IF(N266="X",N$4,""),IF(O266="X",O$4,""),IF(P266="X",P$4,""),IF(Q266="X",Q$4,"")))))</f>
        <v/>
      </c>
      <c r="S266" s="6" t="str">
        <f aca="false">IF(B266="","",IF(B266&gt;B265+1,"Level skips a step",IF(AND(B266&gt;0,OR(H266="",H266&lt;=0)),"Qty missing or 0",IF(AND(J266="Existing",K266=""),"Existing ID missing",IF(AND(B266=Model!$B$8+1,COUNTIF(L266:Q266,"X")=0),"Not in any variant",IF(AND(NOT(B266=Model!$B$8+1),COUNTIF(L266:Q266,"X")&gt;0),"X outside configured item","OK"))))))</f>
        <v/>
      </c>
    </row>
    <row r="267" customFormat="false" ht="15" hidden="false" customHeight="false" outlineLevel="0" collapsed="false">
      <c r="A267" s="17" t="str">
        <f aca="false">IF(B267="","",ROW()-4)</f>
        <v/>
      </c>
      <c r="B267" s="18"/>
      <c r="C267" s="18"/>
      <c r="D267" s="18"/>
      <c r="E267" s="12"/>
      <c r="F267" s="18"/>
      <c r="G267" s="18"/>
      <c r="H267" s="18"/>
      <c r="I267" s="18"/>
      <c r="J267" s="18"/>
      <c r="K267" s="18"/>
      <c r="L267" s="19"/>
      <c r="M267" s="19"/>
      <c r="N267" s="19"/>
      <c r="O267" s="19"/>
      <c r="P267" s="19"/>
      <c r="Q267" s="19"/>
      <c r="R267" s="6" t="str">
        <f aca="false">IF(B267="","",IF(COUNTIF(L267:Q267,"X")=0,"",IF(COUNTIF(L267:Q267,"X")=COUNTA(Model!$B$12:$B$17),"ALL",_xlfn.TEXTJOIN(", ",TRUE(),IF(L267="X",L$4,""),IF(M267="X",M$4,""),IF(N267="X",N$4,""),IF(O267="X",O$4,""),IF(P267="X",P$4,""),IF(Q267="X",Q$4,"")))))</f>
        <v/>
      </c>
      <c r="S267" s="6" t="str">
        <f aca="false">IF(B267="","",IF(B267&gt;B266+1,"Level skips a step",IF(AND(B267&gt;0,OR(H267="",H267&lt;=0)),"Qty missing or 0",IF(AND(J267="Existing",K267=""),"Existing ID missing",IF(AND(B267=Model!$B$8+1,COUNTIF(L267:Q267,"X")=0),"Not in any variant",IF(AND(NOT(B267=Model!$B$8+1),COUNTIF(L267:Q267,"X")&gt;0),"X outside configured item","OK"))))))</f>
        <v/>
      </c>
    </row>
    <row r="268" customFormat="false" ht="15" hidden="false" customHeight="false" outlineLevel="0" collapsed="false">
      <c r="A268" s="17" t="str">
        <f aca="false">IF(B268="","",ROW()-4)</f>
        <v/>
      </c>
      <c r="B268" s="18"/>
      <c r="C268" s="18"/>
      <c r="D268" s="18"/>
      <c r="E268" s="12"/>
      <c r="F268" s="18"/>
      <c r="G268" s="18"/>
      <c r="H268" s="18"/>
      <c r="I268" s="18"/>
      <c r="J268" s="18"/>
      <c r="K268" s="18"/>
      <c r="L268" s="19"/>
      <c r="M268" s="19"/>
      <c r="N268" s="19"/>
      <c r="O268" s="19"/>
      <c r="P268" s="19"/>
      <c r="Q268" s="19"/>
      <c r="R268" s="6" t="str">
        <f aca="false">IF(B268="","",IF(COUNTIF(L268:Q268,"X")=0,"",IF(COUNTIF(L268:Q268,"X")=COUNTA(Model!$B$12:$B$17),"ALL",_xlfn.TEXTJOIN(", ",TRUE(),IF(L268="X",L$4,""),IF(M268="X",M$4,""),IF(N268="X",N$4,""),IF(O268="X",O$4,""),IF(P268="X",P$4,""),IF(Q268="X",Q$4,"")))))</f>
        <v/>
      </c>
      <c r="S268" s="6" t="str">
        <f aca="false">IF(B268="","",IF(B268&gt;B267+1,"Level skips a step",IF(AND(B268&gt;0,OR(H268="",H268&lt;=0)),"Qty missing or 0",IF(AND(J268="Existing",K268=""),"Existing ID missing",IF(AND(B268=Model!$B$8+1,COUNTIF(L268:Q268,"X")=0),"Not in any variant",IF(AND(NOT(B268=Model!$B$8+1),COUNTIF(L268:Q268,"X")&gt;0),"X outside configured item","OK"))))))</f>
        <v/>
      </c>
    </row>
    <row r="269" customFormat="false" ht="15" hidden="false" customHeight="false" outlineLevel="0" collapsed="false">
      <c r="A269" s="17" t="str">
        <f aca="false">IF(B269="","",ROW()-4)</f>
        <v/>
      </c>
      <c r="B269" s="18"/>
      <c r="C269" s="18"/>
      <c r="D269" s="18"/>
      <c r="E269" s="12"/>
      <c r="F269" s="18"/>
      <c r="G269" s="18"/>
      <c r="H269" s="18"/>
      <c r="I269" s="18"/>
      <c r="J269" s="18"/>
      <c r="K269" s="18"/>
      <c r="L269" s="19"/>
      <c r="M269" s="19"/>
      <c r="N269" s="19"/>
      <c r="O269" s="19"/>
      <c r="P269" s="19"/>
      <c r="Q269" s="19"/>
      <c r="R269" s="6" t="str">
        <f aca="false">IF(B269="","",IF(COUNTIF(L269:Q269,"X")=0,"",IF(COUNTIF(L269:Q269,"X")=COUNTA(Model!$B$12:$B$17),"ALL",_xlfn.TEXTJOIN(", ",TRUE(),IF(L269="X",L$4,""),IF(M269="X",M$4,""),IF(N269="X",N$4,""),IF(O269="X",O$4,""),IF(P269="X",P$4,""),IF(Q269="X",Q$4,"")))))</f>
        <v/>
      </c>
      <c r="S269" s="6" t="str">
        <f aca="false">IF(B269="","",IF(B269&gt;B268+1,"Level skips a step",IF(AND(B269&gt;0,OR(H269="",H269&lt;=0)),"Qty missing or 0",IF(AND(J269="Existing",K269=""),"Existing ID missing",IF(AND(B269=Model!$B$8+1,COUNTIF(L269:Q269,"X")=0),"Not in any variant",IF(AND(NOT(B269=Model!$B$8+1),COUNTIF(L269:Q269,"X")&gt;0),"X outside configured item","OK"))))))</f>
        <v/>
      </c>
    </row>
    <row r="270" customFormat="false" ht="15" hidden="false" customHeight="false" outlineLevel="0" collapsed="false">
      <c r="A270" s="17" t="str">
        <f aca="false">IF(B270="","",ROW()-4)</f>
        <v/>
      </c>
      <c r="B270" s="18"/>
      <c r="C270" s="18"/>
      <c r="D270" s="18"/>
      <c r="E270" s="12"/>
      <c r="F270" s="18"/>
      <c r="G270" s="18"/>
      <c r="H270" s="18"/>
      <c r="I270" s="18"/>
      <c r="J270" s="18"/>
      <c r="K270" s="18"/>
      <c r="L270" s="19"/>
      <c r="M270" s="19"/>
      <c r="N270" s="19"/>
      <c r="O270" s="19"/>
      <c r="P270" s="19"/>
      <c r="Q270" s="19"/>
      <c r="R270" s="6" t="str">
        <f aca="false">IF(B270="","",IF(COUNTIF(L270:Q270,"X")=0,"",IF(COUNTIF(L270:Q270,"X")=COUNTA(Model!$B$12:$B$17),"ALL",_xlfn.TEXTJOIN(", ",TRUE(),IF(L270="X",L$4,""),IF(M270="X",M$4,""),IF(N270="X",N$4,""),IF(O270="X",O$4,""),IF(P270="X",P$4,""),IF(Q270="X",Q$4,"")))))</f>
        <v/>
      </c>
      <c r="S270" s="6" t="str">
        <f aca="false">IF(B270="","",IF(B270&gt;B269+1,"Level skips a step",IF(AND(B270&gt;0,OR(H270="",H270&lt;=0)),"Qty missing or 0",IF(AND(J270="Existing",K270=""),"Existing ID missing",IF(AND(B270=Model!$B$8+1,COUNTIF(L270:Q270,"X")=0),"Not in any variant",IF(AND(NOT(B270=Model!$B$8+1),COUNTIF(L270:Q270,"X")&gt;0),"X outside configured item","OK"))))))</f>
        <v/>
      </c>
    </row>
    <row r="271" customFormat="false" ht="15" hidden="false" customHeight="false" outlineLevel="0" collapsed="false">
      <c r="A271" s="17" t="str">
        <f aca="false">IF(B271="","",ROW()-4)</f>
        <v/>
      </c>
      <c r="B271" s="18"/>
      <c r="C271" s="18"/>
      <c r="D271" s="18"/>
      <c r="E271" s="12"/>
      <c r="F271" s="18"/>
      <c r="G271" s="18"/>
      <c r="H271" s="18"/>
      <c r="I271" s="18"/>
      <c r="J271" s="18"/>
      <c r="K271" s="18"/>
      <c r="L271" s="19"/>
      <c r="M271" s="19"/>
      <c r="N271" s="19"/>
      <c r="O271" s="19"/>
      <c r="P271" s="19"/>
      <c r="Q271" s="19"/>
      <c r="R271" s="6" t="str">
        <f aca="false">IF(B271="","",IF(COUNTIF(L271:Q271,"X")=0,"",IF(COUNTIF(L271:Q271,"X")=COUNTA(Model!$B$12:$B$17),"ALL",_xlfn.TEXTJOIN(", ",TRUE(),IF(L271="X",L$4,""),IF(M271="X",M$4,""),IF(N271="X",N$4,""),IF(O271="X",O$4,""),IF(P271="X",P$4,""),IF(Q271="X",Q$4,"")))))</f>
        <v/>
      </c>
      <c r="S271" s="6" t="str">
        <f aca="false">IF(B271="","",IF(B271&gt;B270+1,"Level skips a step",IF(AND(B271&gt;0,OR(H271="",H271&lt;=0)),"Qty missing or 0",IF(AND(J271="Existing",K271=""),"Existing ID missing",IF(AND(B271=Model!$B$8+1,COUNTIF(L271:Q271,"X")=0),"Not in any variant",IF(AND(NOT(B271=Model!$B$8+1),COUNTIF(L271:Q271,"X")&gt;0),"X outside configured item","OK"))))))</f>
        <v/>
      </c>
    </row>
    <row r="272" customFormat="false" ht="15" hidden="false" customHeight="false" outlineLevel="0" collapsed="false">
      <c r="A272" s="17" t="str">
        <f aca="false">IF(B272="","",ROW()-4)</f>
        <v/>
      </c>
      <c r="B272" s="18"/>
      <c r="C272" s="18"/>
      <c r="D272" s="18"/>
      <c r="E272" s="12"/>
      <c r="F272" s="18"/>
      <c r="G272" s="18"/>
      <c r="H272" s="18"/>
      <c r="I272" s="18"/>
      <c r="J272" s="18"/>
      <c r="K272" s="18"/>
      <c r="L272" s="19"/>
      <c r="M272" s="19"/>
      <c r="N272" s="19"/>
      <c r="O272" s="19"/>
      <c r="P272" s="19"/>
      <c r="Q272" s="19"/>
      <c r="R272" s="6" t="str">
        <f aca="false">IF(B272="","",IF(COUNTIF(L272:Q272,"X")=0,"",IF(COUNTIF(L272:Q272,"X")=COUNTA(Model!$B$12:$B$17),"ALL",_xlfn.TEXTJOIN(", ",TRUE(),IF(L272="X",L$4,""),IF(M272="X",M$4,""),IF(N272="X",N$4,""),IF(O272="X",O$4,""),IF(P272="X",P$4,""),IF(Q272="X",Q$4,"")))))</f>
        <v/>
      </c>
      <c r="S272" s="6" t="str">
        <f aca="false">IF(B272="","",IF(B272&gt;B271+1,"Level skips a step",IF(AND(B272&gt;0,OR(H272="",H272&lt;=0)),"Qty missing or 0",IF(AND(J272="Existing",K272=""),"Existing ID missing",IF(AND(B272=Model!$B$8+1,COUNTIF(L272:Q272,"X")=0),"Not in any variant",IF(AND(NOT(B272=Model!$B$8+1),COUNTIF(L272:Q272,"X")&gt;0),"X outside configured item","OK"))))))</f>
        <v/>
      </c>
    </row>
    <row r="273" customFormat="false" ht="15" hidden="false" customHeight="false" outlineLevel="0" collapsed="false">
      <c r="A273" s="17" t="str">
        <f aca="false">IF(B273="","",ROW()-4)</f>
        <v/>
      </c>
      <c r="B273" s="18"/>
      <c r="C273" s="18"/>
      <c r="D273" s="18"/>
      <c r="E273" s="12"/>
      <c r="F273" s="18"/>
      <c r="G273" s="18"/>
      <c r="H273" s="18"/>
      <c r="I273" s="18"/>
      <c r="J273" s="18"/>
      <c r="K273" s="18"/>
      <c r="L273" s="19"/>
      <c r="M273" s="19"/>
      <c r="N273" s="19"/>
      <c r="O273" s="19"/>
      <c r="P273" s="19"/>
      <c r="Q273" s="19"/>
      <c r="R273" s="6" t="str">
        <f aca="false">IF(B273="","",IF(COUNTIF(L273:Q273,"X")=0,"",IF(COUNTIF(L273:Q273,"X")=COUNTA(Model!$B$12:$B$17),"ALL",_xlfn.TEXTJOIN(", ",TRUE(),IF(L273="X",L$4,""),IF(M273="X",M$4,""),IF(N273="X",N$4,""),IF(O273="X",O$4,""),IF(P273="X",P$4,""),IF(Q273="X",Q$4,"")))))</f>
        <v/>
      </c>
      <c r="S273" s="6" t="str">
        <f aca="false">IF(B273="","",IF(B273&gt;B272+1,"Level skips a step",IF(AND(B273&gt;0,OR(H273="",H273&lt;=0)),"Qty missing or 0",IF(AND(J273="Existing",K273=""),"Existing ID missing",IF(AND(B273=Model!$B$8+1,COUNTIF(L273:Q273,"X")=0),"Not in any variant",IF(AND(NOT(B273=Model!$B$8+1),COUNTIF(L273:Q273,"X")&gt;0),"X outside configured item","OK"))))))</f>
        <v/>
      </c>
    </row>
    <row r="274" customFormat="false" ht="15" hidden="false" customHeight="false" outlineLevel="0" collapsed="false">
      <c r="A274" s="17" t="str">
        <f aca="false">IF(B274="","",ROW()-4)</f>
        <v/>
      </c>
      <c r="B274" s="18"/>
      <c r="C274" s="18"/>
      <c r="D274" s="18"/>
      <c r="E274" s="12"/>
      <c r="F274" s="18"/>
      <c r="G274" s="18"/>
      <c r="H274" s="18"/>
      <c r="I274" s="18"/>
      <c r="J274" s="18"/>
      <c r="K274" s="18"/>
      <c r="L274" s="19"/>
      <c r="M274" s="19"/>
      <c r="N274" s="19"/>
      <c r="O274" s="19"/>
      <c r="P274" s="19"/>
      <c r="Q274" s="19"/>
      <c r="R274" s="6" t="str">
        <f aca="false">IF(B274="","",IF(COUNTIF(L274:Q274,"X")=0,"",IF(COUNTIF(L274:Q274,"X")=COUNTA(Model!$B$12:$B$17),"ALL",_xlfn.TEXTJOIN(", ",TRUE(),IF(L274="X",L$4,""),IF(M274="X",M$4,""),IF(N274="X",N$4,""),IF(O274="X",O$4,""),IF(P274="X",P$4,""),IF(Q274="X",Q$4,"")))))</f>
        <v/>
      </c>
      <c r="S274" s="6" t="str">
        <f aca="false">IF(B274="","",IF(B274&gt;B273+1,"Level skips a step",IF(AND(B274&gt;0,OR(H274="",H274&lt;=0)),"Qty missing or 0",IF(AND(J274="Existing",K274=""),"Existing ID missing",IF(AND(B274=Model!$B$8+1,COUNTIF(L274:Q274,"X")=0),"Not in any variant",IF(AND(NOT(B274=Model!$B$8+1),COUNTIF(L274:Q274,"X")&gt;0),"X outside configured item","OK"))))))</f>
        <v/>
      </c>
    </row>
    <row r="275" customFormat="false" ht="15" hidden="false" customHeight="false" outlineLevel="0" collapsed="false">
      <c r="A275" s="17" t="str">
        <f aca="false">IF(B275="","",ROW()-4)</f>
        <v/>
      </c>
      <c r="B275" s="18"/>
      <c r="C275" s="18"/>
      <c r="D275" s="18"/>
      <c r="E275" s="12"/>
      <c r="F275" s="18"/>
      <c r="G275" s="18"/>
      <c r="H275" s="18"/>
      <c r="I275" s="18"/>
      <c r="J275" s="18"/>
      <c r="K275" s="18"/>
      <c r="L275" s="19"/>
      <c r="M275" s="19"/>
      <c r="N275" s="19"/>
      <c r="O275" s="19"/>
      <c r="P275" s="19"/>
      <c r="Q275" s="19"/>
      <c r="R275" s="6" t="str">
        <f aca="false">IF(B275="","",IF(COUNTIF(L275:Q275,"X")=0,"",IF(COUNTIF(L275:Q275,"X")=COUNTA(Model!$B$12:$B$17),"ALL",_xlfn.TEXTJOIN(", ",TRUE(),IF(L275="X",L$4,""),IF(M275="X",M$4,""),IF(N275="X",N$4,""),IF(O275="X",O$4,""),IF(P275="X",P$4,""),IF(Q275="X",Q$4,"")))))</f>
        <v/>
      </c>
      <c r="S275" s="6" t="str">
        <f aca="false">IF(B275="","",IF(B275&gt;B274+1,"Level skips a step",IF(AND(B275&gt;0,OR(H275="",H275&lt;=0)),"Qty missing or 0",IF(AND(J275="Existing",K275=""),"Existing ID missing",IF(AND(B275=Model!$B$8+1,COUNTIF(L275:Q275,"X")=0),"Not in any variant",IF(AND(NOT(B275=Model!$B$8+1),COUNTIF(L275:Q275,"X")&gt;0),"X outside configured item","OK"))))))</f>
        <v/>
      </c>
    </row>
    <row r="276" customFormat="false" ht="15" hidden="false" customHeight="false" outlineLevel="0" collapsed="false">
      <c r="A276" s="17" t="str">
        <f aca="false">IF(B276="","",ROW()-4)</f>
        <v/>
      </c>
      <c r="B276" s="18"/>
      <c r="C276" s="18"/>
      <c r="D276" s="18"/>
      <c r="E276" s="12"/>
      <c r="F276" s="18"/>
      <c r="G276" s="18"/>
      <c r="H276" s="18"/>
      <c r="I276" s="18"/>
      <c r="J276" s="18"/>
      <c r="K276" s="18"/>
      <c r="L276" s="19"/>
      <c r="M276" s="19"/>
      <c r="N276" s="19"/>
      <c r="O276" s="19"/>
      <c r="P276" s="19"/>
      <c r="Q276" s="19"/>
      <c r="R276" s="6" t="str">
        <f aca="false">IF(B276="","",IF(COUNTIF(L276:Q276,"X")=0,"",IF(COUNTIF(L276:Q276,"X")=COUNTA(Model!$B$12:$B$17),"ALL",_xlfn.TEXTJOIN(", ",TRUE(),IF(L276="X",L$4,""),IF(M276="X",M$4,""),IF(N276="X",N$4,""),IF(O276="X",O$4,""),IF(P276="X",P$4,""),IF(Q276="X",Q$4,"")))))</f>
        <v/>
      </c>
      <c r="S276" s="6" t="str">
        <f aca="false">IF(B276="","",IF(B276&gt;B275+1,"Level skips a step",IF(AND(B276&gt;0,OR(H276="",H276&lt;=0)),"Qty missing or 0",IF(AND(J276="Existing",K276=""),"Existing ID missing",IF(AND(B276=Model!$B$8+1,COUNTIF(L276:Q276,"X")=0),"Not in any variant",IF(AND(NOT(B276=Model!$B$8+1),COUNTIF(L276:Q276,"X")&gt;0),"X outside configured item","OK"))))))</f>
        <v/>
      </c>
    </row>
    <row r="277" customFormat="false" ht="15" hidden="false" customHeight="false" outlineLevel="0" collapsed="false">
      <c r="A277" s="17" t="str">
        <f aca="false">IF(B277="","",ROW()-4)</f>
        <v/>
      </c>
      <c r="B277" s="18"/>
      <c r="C277" s="18"/>
      <c r="D277" s="18"/>
      <c r="E277" s="12"/>
      <c r="F277" s="18"/>
      <c r="G277" s="18"/>
      <c r="H277" s="18"/>
      <c r="I277" s="18"/>
      <c r="J277" s="18"/>
      <c r="K277" s="18"/>
      <c r="L277" s="19"/>
      <c r="M277" s="19"/>
      <c r="N277" s="19"/>
      <c r="O277" s="19"/>
      <c r="P277" s="19"/>
      <c r="Q277" s="19"/>
      <c r="R277" s="6" t="str">
        <f aca="false">IF(B277="","",IF(COUNTIF(L277:Q277,"X")=0,"",IF(COUNTIF(L277:Q277,"X")=COUNTA(Model!$B$12:$B$17),"ALL",_xlfn.TEXTJOIN(", ",TRUE(),IF(L277="X",L$4,""),IF(M277="X",M$4,""),IF(N277="X",N$4,""),IF(O277="X",O$4,""),IF(P277="X",P$4,""),IF(Q277="X",Q$4,"")))))</f>
        <v/>
      </c>
      <c r="S277" s="6" t="str">
        <f aca="false">IF(B277="","",IF(B277&gt;B276+1,"Level skips a step",IF(AND(B277&gt;0,OR(H277="",H277&lt;=0)),"Qty missing or 0",IF(AND(J277="Existing",K277=""),"Existing ID missing",IF(AND(B277=Model!$B$8+1,COUNTIF(L277:Q277,"X")=0),"Not in any variant",IF(AND(NOT(B277=Model!$B$8+1),COUNTIF(L277:Q277,"X")&gt;0),"X outside configured item","OK"))))))</f>
        <v/>
      </c>
    </row>
    <row r="278" customFormat="false" ht="15" hidden="false" customHeight="false" outlineLevel="0" collapsed="false">
      <c r="A278" s="17" t="str">
        <f aca="false">IF(B278="","",ROW()-4)</f>
        <v/>
      </c>
      <c r="B278" s="18"/>
      <c r="C278" s="18"/>
      <c r="D278" s="18"/>
      <c r="E278" s="12"/>
      <c r="F278" s="18"/>
      <c r="G278" s="18"/>
      <c r="H278" s="18"/>
      <c r="I278" s="18"/>
      <c r="J278" s="18"/>
      <c r="K278" s="18"/>
      <c r="L278" s="19"/>
      <c r="M278" s="19"/>
      <c r="N278" s="19"/>
      <c r="O278" s="19"/>
      <c r="P278" s="19"/>
      <c r="Q278" s="19"/>
      <c r="R278" s="6" t="str">
        <f aca="false">IF(B278="","",IF(COUNTIF(L278:Q278,"X")=0,"",IF(COUNTIF(L278:Q278,"X")=COUNTA(Model!$B$12:$B$17),"ALL",_xlfn.TEXTJOIN(", ",TRUE(),IF(L278="X",L$4,""),IF(M278="X",M$4,""),IF(N278="X",N$4,""),IF(O278="X",O$4,""),IF(P278="X",P$4,""),IF(Q278="X",Q$4,"")))))</f>
        <v/>
      </c>
      <c r="S278" s="6" t="str">
        <f aca="false">IF(B278="","",IF(B278&gt;B277+1,"Level skips a step",IF(AND(B278&gt;0,OR(H278="",H278&lt;=0)),"Qty missing or 0",IF(AND(J278="Existing",K278=""),"Existing ID missing",IF(AND(B278=Model!$B$8+1,COUNTIF(L278:Q278,"X")=0),"Not in any variant",IF(AND(NOT(B278=Model!$B$8+1),COUNTIF(L278:Q278,"X")&gt;0),"X outside configured item","OK"))))))</f>
        <v/>
      </c>
    </row>
    <row r="279" customFormat="false" ht="15" hidden="false" customHeight="false" outlineLevel="0" collapsed="false">
      <c r="A279" s="17" t="str">
        <f aca="false">IF(B279="","",ROW()-4)</f>
        <v/>
      </c>
      <c r="B279" s="18"/>
      <c r="C279" s="18"/>
      <c r="D279" s="18"/>
      <c r="E279" s="12"/>
      <c r="F279" s="18"/>
      <c r="G279" s="18"/>
      <c r="H279" s="18"/>
      <c r="I279" s="18"/>
      <c r="J279" s="18"/>
      <c r="K279" s="18"/>
      <c r="L279" s="19"/>
      <c r="M279" s="19"/>
      <c r="N279" s="19"/>
      <c r="O279" s="19"/>
      <c r="P279" s="19"/>
      <c r="Q279" s="19"/>
      <c r="R279" s="6" t="str">
        <f aca="false">IF(B279="","",IF(COUNTIF(L279:Q279,"X")=0,"",IF(COUNTIF(L279:Q279,"X")=COUNTA(Model!$B$12:$B$17),"ALL",_xlfn.TEXTJOIN(", ",TRUE(),IF(L279="X",L$4,""),IF(M279="X",M$4,""),IF(N279="X",N$4,""),IF(O279="X",O$4,""),IF(P279="X",P$4,""),IF(Q279="X",Q$4,"")))))</f>
        <v/>
      </c>
      <c r="S279" s="6" t="str">
        <f aca="false">IF(B279="","",IF(B279&gt;B278+1,"Level skips a step",IF(AND(B279&gt;0,OR(H279="",H279&lt;=0)),"Qty missing or 0",IF(AND(J279="Existing",K279=""),"Existing ID missing",IF(AND(B279=Model!$B$8+1,COUNTIF(L279:Q279,"X")=0),"Not in any variant",IF(AND(NOT(B279=Model!$B$8+1),COUNTIF(L279:Q279,"X")&gt;0),"X outside configured item","OK"))))))</f>
        <v/>
      </c>
    </row>
    <row r="280" customFormat="false" ht="15" hidden="false" customHeight="false" outlineLevel="0" collapsed="false">
      <c r="A280" s="17" t="str">
        <f aca="false">IF(B280="","",ROW()-4)</f>
        <v/>
      </c>
      <c r="B280" s="18"/>
      <c r="C280" s="18"/>
      <c r="D280" s="18"/>
      <c r="E280" s="12"/>
      <c r="F280" s="18"/>
      <c r="G280" s="18"/>
      <c r="H280" s="18"/>
      <c r="I280" s="18"/>
      <c r="J280" s="18"/>
      <c r="K280" s="18"/>
      <c r="L280" s="19"/>
      <c r="M280" s="19"/>
      <c r="N280" s="19"/>
      <c r="O280" s="19"/>
      <c r="P280" s="19"/>
      <c r="Q280" s="19"/>
      <c r="R280" s="6" t="str">
        <f aca="false">IF(B280="","",IF(COUNTIF(L280:Q280,"X")=0,"",IF(COUNTIF(L280:Q280,"X")=COUNTA(Model!$B$12:$B$17),"ALL",_xlfn.TEXTJOIN(", ",TRUE(),IF(L280="X",L$4,""),IF(M280="X",M$4,""),IF(N280="X",N$4,""),IF(O280="X",O$4,""),IF(P280="X",P$4,""),IF(Q280="X",Q$4,"")))))</f>
        <v/>
      </c>
      <c r="S280" s="6" t="str">
        <f aca="false">IF(B280="","",IF(B280&gt;B279+1,"Level skips a step",IF(AND(B280&gt;0,OR(H280="",H280&lt;=0)),"Qty missing or 0",IF(AND(J280="Existing",K280=""),"Existing ID missing",IF(AND(B280=Model!$B$8+1,COUNTIF(L280:Q280,"X")=0),"Not in any variant",IF(AND(NOT(B280=Model!$B$8+1),COUNTIF(L280:Q280,"X")&gt;0),"X outside configured item","OK"))))))</f>
        <v/>
      </c>
    </row>
    <row r="281" customFormat="false" ht="15" hidden="false" customHeight="false" outlineLevel="0" collapsed="false">
      <c r="A281" s="17" t="str">
        <f aca="false">IF(B281="","",ROW()-4)</f>
        <v/>
      </c>
      <c r="B281" s="18"/>
      <c r="C281" s="18"/>
      <c r="D281" s="18"/>
      <c r="E281" s="12"/>
      <c r="F281" s="18"/>
      <c r="G281" s="18"/>
      <c r="H281" s="18"/>
      <c r="I281" s="18"/>
      <c r="J281" s="18"/>
      <c r="K281" s="18"/>
      <c r="L281" s="19"/>
      <c r="M281" s="19"/>
      <c r="N281" s="19"/>
      <c r="O281" s="19"/>
      <c r="P281" s="19"/>
      <c r="Q281" s="19"/>
      <c r="R281" s="6" t="str">
        <f aca="false">IF(B281="","",IF(COUNTIF(L281:Q281,"X")=0,"",IF(COUNTIF(L281:Q281,"X")=COUNTA(Model!$B$12:$B$17),"ALL",_xlfn.TEXTJOIN(", ",TRUE(),IF(L281="X",L$4,""),IF(M281="X",M$4,""),IF(N281="X",N$4,""),IF(O281="X",O$4,""),IF(P281="X",P$4,""),IF(Q281="X",Q$4,"")))))</f>
        <v/>
      </c>
      <c r="S281" s="6" t="str">
        <f aca="false">IF(B281="","",IF(B281&gt;B280+1,"Level skips a step",IF(AND(B281&gt;0,OR(H281="",H281&lt;=0)),"Qty missing or 0",IF(AND(J281="Existing",K281=""),"Existing ID missing",IF(AND(B281=Model!$B$8+1,COUNTIF(L281:Q281,"X")=0),"Not in any variant",IF(AND(NOT(B281=Model!$B$8+1),COUNTIF(L281:Q281,"X")&gt;0),"X outside configured item","OK"))))))</f>
        <v/>
      </c>
    </row>
    <row r="282" customFormat="false" ht="15" hidden="false" customHeight="false" outlineLevel="0" collapsed="false">
      <c r="A282" s="17" t="str">
        <f aca="false">IF(B282="","",ROW()-4)</f>
        <v/>
      </c>
      <c r="B282" s="18"/>
      <c r="C282" s="18"/>
      <c r="D282" s="18"/>
      <c r="E282" s="12"/>
      <c r="F282" s="18"/>
      <c r="G282" s="18"/>
      <c r="H282" s="18"/>
      <c r="I282" s="18"/>
      <c r="J282" s="18"/>
      <c r="K282" s="18"/>
      <c r="L282" s="19"/>
      <c r="M282" s="19"/>
      <c r="N282" s="19"/>
      <c r="O282" s="19"/>
      <c r="P282" s="19"/>
      <c r="Q282" s="19"/>
      <c r="R282" s="6" t="str">
        <f aca="false">IF(B282="","",IF(COUNTIF(L282:Q282,"X")=0,"",IF(COUNTIF(L282:Q282,"X")=COUNTA(Model!$B$12:$B$17),"ALL",_xlfn.TEXTJOIN(", ",TRUE(),IF(L282="X",L$4,""),IF(M282="X",M$4,""),IF(N282="X",N$4,""),IF(O282="X",O$4,""),IF(P282="X",P$4,""),IF(Q282="X",Q$4,"")))))</f>
        <v/>
      </c>
      <c r="S282" s="6" t="str">
        <f aca="false">IF(B282="","",IF(B282&gt;B281+1,"Level skips a step",IF(AND(B282&gt;0,OR(H282="",H282&lt;=0)),"Qty missing or 0",IF(AND(J282="Existing",K282=""),"Existing ID missing",IF(AND(B282=Model!$B$8+1,COUNTIF(L282:Q282,"X")=0),"Not in any variant",IF(AND(NOT(B282=Model!$B$8+1),COUNTIF(L282:Q282,"X")&gt;0),"X outside configured item","OK"))))))</f>
        <v/>
      </c>
    </row>
    <row r="283" customFormat="false" ht="15" hidden="false" customHeight="false" outlineLevel="0" collapsed="false">
      <c r="A283" s="17" t="str">
        <f aca="false">IF(B283="","",ROW()-4)</f>
        <v/>
      </c>
      <c r="B283" s="18"/>
      <c r="C283" s="18"/>
      <c r="D283" s="18"/>
      <c r="E283" s="12"/>
      <c r="F283" s="18"/>
      <c r="G283" s="18"/>
      <c r="H283" s="18"/>
      <c r="I283" s="18"/>
      <c r="J283" s="18"/>
      <c r="K283" s="18"/>
      <c r="L283" s="19"/>
      <c r="M283" s="19"/>
      <c r="N283" s="19"/>
      <c r="O283" s="19"/>
      <c r="P283" s="19"/>
      <c r="Q283" s="19"/>
      <c r="R283" s="6" t="str">
        <f aca="false">IF(B283="","",IF(COUNTIF(L283:Q283,"X")=0,"",IF(COUNTIF(L283:Q283,"X")=COUNTA(Model!$B$12:$B$17),"ALL",_xlfn.TEXTJOIN(", ",TRUE(),IF(L283="X",L$4,""),IF(M283="X",M$4,""),IF(N283="X",N$4,""),IF(O283="X",O$4,""),IF(P283="X",P$4,""),IF(Q283="X",Q$4,"")))))</f>
        <v/>
      </c>
      <c r="S283" s="6" t="str">
        <f aca="false">IF(B283="","",IF(B283&gt;B282+1,"Level skips a step",IF(AND(B283&gt;0,OR(H283="",H283&lt;=0)),"Qty missing or 0",IF(AND(J283="Existing",K283=""),"Existing ID missing",IF(AND(B283=Model!$B$8+1,COUNTIF(L283:Q283,"X")=0),"Not in any variant",IF(AND(NOT(B283=Model!$B$8+1),COUNTIF(L283:Q283,"X")&gt;0),"X outside configured item","OK"))))))</f>
        <v/>
      </c>
    </row>
    <row r="284" customFormat="false" ht="15" hidden="false" customHeight="false" outlineLevel="0" collapsed="false">
      <c r="A284" s="17" t="str">
        <f aca="false">IF(B284="","",ROW()-4)</f>
        <v/>
      </c>
      <c r="B284" s="18"/>
      <c r="C284" s="18"/>
      <c r="D284" s="18"/>
      <c r="E284" s="12"/>
      <c r="F284" s="18"/>
      <c r="G284" s="18"/>
      <c r="H284" s="18"/>
      <c r="I284" s="18"/>
      <c r="J284" s="18"/>
      <c r="K284" s="18"/>
      <c r="L284" s="19"/>
      <c r="M284" s="19"/>
      <c r="N284" s="19"/>
      <c r="O284" s="19"/>
      <c r="P284" s="19"/>
      <c r="Q284" s="19"/>
      <c r="R284" s="6" t="str">
        <f aca="false">IF(B284="","",IF(COUNTIF(L284:Q284,"X")=0,"",IF(COUNTIF(L284:Q284,"X")=COUNTA(Model!$B$12:$B$17),"ALL",_xlfn.TEXTJOIN(", ",TRUE(),IF(L284="X",L$4,""),IF(M284="X",M$4,""),IF(N284="X",N$4,""),IF(O284="X",O$4,""),IF(P284="X",P$4,""),IF(Q284="X",Q$4,"")))))</f>
        <v/>
      </c>
      <c r="S284" s="6" t="str">
        <f aca="false">IF(B284="","",IF(B284&gt;B283+1,"Level skips a step",IF(AND(B284&gt;0,OR(H284="",H284&lt;=0)),"Qty missing or 0",IF(AND(J284="Existing",K284=""),"Existing ID missing",IF(AND(B284=Model!$B$8+1,COUNTIF(L284:Q284,"X")=0),"Not in any variant",IF(AND(NOT(B284=Model!$B$8+1),COUNTIF(L284:Q284,"X")&gt;0),"X outside configured item","OK"))))))</f>
        <v/>
      </c>
    </row>
    <row r="285" customFormat="false" ht="15" hidden="false" customHeight="false" outlineLevel="0" collapsed="false">
      <c r="A285" s="17" t="str">
        <f aca="false">IF(B285="","",ROW()-4)</f>
        <v/>
      </c>
      <c r="B285" s="18"/>
      <c r="C285" s="18"/>
      <c r="D285" s="18"/>
      <c r="E285" s="12"/>
      <c r="F285" s="18"/>
      <c r="G285" s="18"/>
      <c r="H285" s="18"/>
      <c r="I285" s="18"/>
      <c r="J285" s="18"/>
      <c r="K285" s="18"/>
      <c r="L285" s="19"/>
      <c r="M285" s="19"/>
      <c r="N285" s="19"/>
      <c r="O285" s="19"/>
      <c r="P285" s="19"/>
      <c r="Q285" s="19"/>
      <c r="R285" s="6" t="str">
        <f aca="false">IF(B285="","",IF(COUNTIF(L285:Q285,"X")=0,"",IF(COUNTIF(L285:Q285,"X")=COUNTA(Model!$B$12:$B$17),"ALL",_xlfn.TEXTJOIN(", ",TRUE(),IF(L285="X",L$4,""),IF(M285="X",M$4,""),IF(N285="X",N$4,""),IF(O285="X",O$4,""),IF(P285="X",P$4,""),IF(Q285="X",Q$4,"")))))</f>
        <v/>
      </c>
      <c r="S285" s="6" t="str">
        <f aca="false">IF(B285="","",IF(B285&gt;B284+1,"Level skips a step",IF(AND(B285&gt;0,OR(H285="",H285&lt;=0)),"Qty missing or 0",IF(AND(J285="Existing",K285=""),"Existing ID missing",IF(AND(B285=Model!$B$8+1,COUNTIF(L285:Q285,"X")=0),"Not in any variant",IF(AND(NOT(B285=Model!$B$8+1),COUNTIF(L285:Q285,"X")&gt;0),"X outside configured item","OK"))))))</f>
        <v/>
      </c>
    </row>
    <row r="286" customFormat="false" ht="15" hidden="false" customHeight="false" outlineLevel="0" collapsed="false">
      <c r="A286" s="17" t="str">
        <f aca="false">IF(B286="","",ROW()-4)</f>
        <v/>
      </c>
      <c r="B286" s="18"/>
      <c r="C286" s="18"/>
      <c r="D286" s="18"/>
      <c r="E286" s="12"/>
      <c r="F286" s="18"/>
      <c r="G286" s="18"/>
      <c r="H286" s="18"/>
      <c r="I286" s="18"/>
      <c r="J286" s="18"/>
      <c r="K286" s="18"/>
      <c r="L286" s="19"/>
      <c r="M286" s="19"/>
      <c r="N286" s="19"/>
      <c r="O286" s="19"/>
      <c r="P286" s="19"/>
      <c r="Q286" s="19"/>
      <c r="R286" s="6" t="str">
        <f aca="false">IF(B286="","",IF(COUNTIF(L286:Q286,"X")=0,"",IF(COUNTIF(L286:Q286,"X")=COUNTA(Model!$B$12:$B$17),"ALL",_xlfn.TEXTJOIN(", ",TRUE(),IF(L286="X",L$4,""),IF(M286="X",M$4,""),IF(N286="X",N$4,""),IF(O286="X",O$4,""),IF(P286="X",P$4,""),IF(Q286="X",Q$4,"")))))</f>
        <v/>
      </c>
      <c r="S286" s="6" t="str">
        <f aca="false">IF(B286="","",IF(B286&gt;B285+1,"Level skips a step",IF(AND(B286&gt;0,OR(H286="",H286&lt;=0)),"Qty missing or 0",IF(AND(J286="Existing",K286=""),"Existing ID missing",IF(AND(B286=Model!$B$8+1,COUNTIF(L286:Q286,"X")=0),"Not in any variant",IF(AND(NOT(B286=Model!$B$8+1),COUNTIF(L286:Q286,"X")&gt;0),"X outside configured item","OK"))))))</f>
        <v/>
      </c>
    </row>
    <row r="287" customFormat="false" ht="15" hidden="false" customHeight="false" outlineLevel="0" collapsed="false">
      <c r="A287" s="17" t="str">
        <f aca="false">IF(B287="","",ROW()-4)</f>
        <v/>
      </c>
      <c r="B287" s="18"/>
      <c r="C287" s="18"/>
      <c r="D287" s="18"/>
      <c r="E287" s="12"/>
      <c r="F287" s="18"/>
      <c r="G287" s="18"/>
      <c r="H287" s="18"/>
      <c r="I287" s="18"/>
      <c r="J287" s="18"/>
      <c r="K287" s="18"/>
      <c r="L287" s="19"/>
      <c r="M287" s="19"/>
      <c r="N287" s="19"/>
      <c r="O287" s="19"/>
      <c r="P287" s="19"/>
      <c r="Q287" s="19"/>
      <c r="R287" s="6" t="str">
        <f aca="false">IF(B287="","",IF(COUNTIF(L287:Q287,"X")=0,"",IF(COUNTIF(L287:Q287,"X")=COUNTA(Model!$B$12:$B$17),"ALL",_xlfn.TEXTJOIN(", ",TRUE(),IF(L287="X",L$4,""),IF(M287="X",M$4,""),IF(N287="X",N$4,""),IF(O287="X",O$4,""),IF(P287="X",P$4,""),IF(Q287="X",Q$4,"")))))</f>
        <v/>
      </c>
      <c r="S287" s="6" t="str">
        <f aca="false">IF(B287="","",IF(B287&gt;B286+1,"Level skips a step",IF(AND(B287&gt;0,OR(H287="",H287&lt;=0)),"Qty missing or 0",IF(AND(J287="Existing",K287=""),"Existing ID missing",IF(AND(B287=Model!$B$8+1,COUNTIF(L287:Q287,"X")=0),"Not in any variant",IF(AND(NOT(B287=Model!$B$8+1),COUNTIF(L287:Q287,"X")&gt;0),"X outside configured item","OK"))))))</f>
        <v/>
      </c>
    </row>
    <row r="288" customFormat="false" ht="15" hidden="false" customHeight="false" outlineLevel="0" collapsed="false">
      <c r="A288" s="17" t="str">
        <f aca="false">IF(B288="","",ROW()-4)</f>
        <v/>
      </c>
      <c r="B288" s="18"/>
      <c r="C288" s="18"/>
      <c r="D288" s="18"/>
      <c r="E288" s="12"/>
      <c r="F288" s="18"/>
      <c r="G288" s="18"/>
      <c r="H288" s="18"/>
      <c r="I288" s="18"/>
      <c r="J288" s="18"/>
      <c r="K288" s="18"/>
      <c r="L288" s="19"/>
      <c r="M288" s="19"/>
      <c r="N288" s="19"/>
      <c r="O288" s="19"/>
      <c r="P288" s="19"/>
      <c r="Q288" s="19"/>
      <c r="R288" s="6" t="str">
        <f aca="false">IF(B288="","",IF(COUNTIF(L288:Q288,"X")=0,"",IF(COUNTIF(L288:Q288,"X")=COUNTA(Model!$B$12:$B$17),"ALL",_xlfn.TEXTJOIN(", ",TRUE(),IF(L288="X",L$4,""),IF(M288="X",M$4,""),IF(N288="X",N$4,""),IF(O288="X",O$4,""),IF(P288="X",P$4,""),IF(Q288="X",Q$4,"")))))</f>
        <v/>
      </c>
      <c r="S288" s="6" t="str">
        <f aca="false">IF(B288="","",IF(B288&gt;B287+1,"Level skips a step",IF(AND(B288&gt;0,OR(H288="",H288&lt;=0)),"Qty missing or 0",IF(AND(J288="Existing",K288=""),"Existing ID missing",IF(AND(B288=Model!$B$8+1,COUNTIF(L288:Q288,"X")=0),"Not in any variant",IF(AND(NOT(B288=Model!$B$8+1),COUNTIF(L288:Q288,"X")&gt;0),"X outside configured item","OK"))))))</f>
        <v/>
      </c>
    </row>
    <row r="289" customFormat="false" ht="15" hidden="false" customHeight="false" outlineLevel="0" collapsed="false">
      <c r="A289" s="17" t="str">
        <f aca="false">IF(B289="","",ROW()-4)</f>
        <v/>
      </c>
      <c r="B289" s="18"/>
      <c r="C289" s="18"/>
      <c r="D289" s="18"/>
      <c r="E289" s="12"/>
      <c r="F289" s="18"/>
      <c r="G289" s="18"/>
      <c r="H289" s="18"/>
      <c r="I289" s="18"/>
      <c r="J289" s="18"/>
      <c r="K289" s="18"/>
      <c r="L289" s="19"/>
      <c r="M289" s="19"/>
      <c r="N289" s="19"/>
      <c r="O289" s="19"/>
      <c r="P289" s="19"/>
      <c r="Q289" s="19"/>
      <c r="R289" s="6" t="str">
        <f aca="false">IF(B289="","",IF(COUNTIF(L289:Q289,"X")=0,"",IF(COUNTIF(L289:Q289,"X")=COUNTA(Model!$B$12:$B$17),"ALL",_xlfn.TEXTJOIN(", ",TRUE(),IF(L289="X",L$4,""),IF(M289="X",M$4,""),IF(N289="X",N$4,""),IF(O289="X",O$4,""),IF(P289="X",P$4,""),IF(Q289="X",Q$4,"")))))</f>
        <v/>
      </c>
      <c r="S289" s="6" t="str">
        <f aca="false">IF(B289="","",IF(B289&gt;B288+1,"Level skips a step",IF(AND(B289&gt;0,OR(H289="",H289&lt;=0)),"Qty missing or 0",IF(AND(J289="Existing",K289=""),"Existing ID missing",IF(AND(B289=Model!$B$8+1,COUNTIF(L289:Q289,"X")=0),"Not in any variant",IF(AND(NOT(B289=Model!$B$8+1),COUNTIF(L289:Q289,"X")&gt;0),"X outside configured item","OK"))))))</f>
        <v/>
      </c>
    </row>
    <row r="290" customFormat="false" ht="15" hidden="false" customHeight="false" outlineLevel="0" collapsed="false">
      <c r="A290" s="17" t="str">
        <f aca="false">IF(B290="","",ROW()-4)</f>
        <v/>
      </c>
      <c r="B290" s="18"/>
      <c r="C290" s="18"/>
      <c r="D290" s="18"/>
      <c r="E290" s="12"/>
      <c r="F290" s="18"/>
      <c r="G290" s="18"/>
      <c r="H290" s="18"/>
      <c r="I290" s="18"/>
      <c r="J290" s="18"/>
      <c r="K290" s="18"/>
      <c r="L290" s="19"/>
      <c r="M290" s="19"/>
      <c r="N290" s="19"/>
      <c r="O290" s="19"/>
      <c r="P290" s="19"/>
      <c r="Q290" s="19"/>
      <c r="R290" s="6" t="str">
        <f aca="false">IF(B290="","",IF(COUNTIF(L290:Q290,"X")=0,"",IF(COUNTIF(L290:Q290,"X")=COUNTA(Model!$B$12:$B$17),"ALL",_xlfn.TEXTJOIN(", ",TRUE(),IF(L290="X",L$4,""),IF(M290="X",M$4,""),IF(N290="X",N$4,""),IF(O290="X",O$4,""),IF(P290="X",P$4,""),IF(Q290="X",Q$4,"")))))</f>
        <v/>
      </c>
      <c r="S290" s="6" t="str">
        <f aca="false">IF(B290="","",IF(B290&gt;B289+1,"Level skips a step",IF(AND(B290&gt;0,OR(H290="",H290&lt;=0)),"Qty missing or 0",IF(AND(J290="Existing",K290=""),"Existing ID missing",IF(AND(B290=Model!$B$8+1,COUNTIF(L290:Q290,"X")=0),"Not in any variant",IF(AND(NOT(B290=Model!$B$8+1),COUNTIF(L290:Q290,"X")&gt;0),"X outside configured item","OK"))))))</f>
        <v/>
      </c>
    </row>
    <row r="291" customFormat="false" ht="15" hidden="false" customHeight="false" outlineLevel="0" collapsed="false">
      <c r="A291" s="17" t="str">
        <f aca="false">IF(B291="","",ROW()-4)</f>
        <v/>
      </c>
      <c r="B291" s="18"/>
      <c r="C291" s="18"/>
      <c r="D291" s="18"/>
      <c r="E291" s="12"/>
      <c r="F291" s="18"/>
      <c r="G291" s="18"/>
      <c r="H291" s="18"/>
      <c r="I291" s="18"/>
      <c r="J291" s="18"/>
      <c r="K291" s="18"/>
      <c r="L291" s="19"/>
      <c r="M291" s="19"/>
      <c r="N291" s="19"/>
      <c r="O291" s="19"/>
      <c r="P291" s="19"/>
      <c r="Q291" s="19"/>
      <c r="R291" s="6" t="str">
        <f aca="false">IF(B291="","",IF(COUNTIF(L291:Q291,"X")=0,"",IF(COUNTIF(L291:Q291,"X")=COUNTA(Model!$B$12:$B$17),"ALL",_xlfn.TEXTJOIN(", ",TRUE(),IF(L291="X",L$4,""),IF(M291="X",M$4,""),IF(N291="X",N$4,""),IF(O291="X",O$4,""),IF(P291="X",P$4,""),IF(Q291="X",Q$4,"")))))</f>
        <v/>
      </c>
      <c r="S291" s="6" t="str">
        <f aca="false">IF(B291="","",IF(B291&gt;B290+1,"Level skips a step",IF(AND(B291&gt;0,OR(H291="",H291&lt;=0)),"Qty missing or 0",IF(AND(J291="Existing",K291=""),"Existing ID missing",IF(AND(B291=Model!$B$8+1,COUNTIF(L291:Q291,"X")=0),"Not in any variant",IF(AND(NOT(B291=Model!$B$8+1),COUNTIF(L291:Q291,"X")&gt;0),"X outside configured item","OK"))))))</f>
        <v/>
      </c>
    </row>
    <row r="292" customFormat="false" ht="15" hidden="false" customHeight="false" outlineLevel="0" collapsed="false">
      <c r="A292" s="17" t="str">
        <f aca="false">IF(B292="","",ROW()-4)</f>
        <v/>
      </c>
      <c r="B292" s="18"/>
      <c r="C292" s="18"/>
      <c r="D292" s="18"/>
      <c r="E292" s="12"/>
      <c r="F292" s="18"/>
      <c r="G292" s="18"/>
      <c r="H292" s="18"/>
      <c r="I292" s="18"/>
      <c r="J292" s="18"/>
      <c r="K292" s="18"/>
      <c r="L292" s="19"/>
      <c r="M292" s="19"/>
      <c r="N292" s="19"/>
      <c r="O292" s="19"/>
      <c r="P292" s="19"/>
      <c r="Q292" s="19"/>
      <c r="R292" s="6" t="str">
        <f aca="false">IF(B292="","",IF(COUNTIF(L292:Q292,"X")=0,"",IF(COUNTIF(L292:Q292,"X")=COUNTA(Model!$B$12:$B$17),"ALL",_xlfn.TEXTJOIN(", ",TRUE(),IF(L292="X",L$4,""),IF(M292="X",M$4,""),IF(N292="X",N$4,""),IF(O292="X",O$4,""),IF(P292="X",P$4,""),IF(Q292="X",Q$4,"")))))</f>
        <v/>
      </c>
      <c r="S292" s="6" t="str">
        <f aca="false">IF(B292="","",IF(B292&gt;B291+1,"Level skips a step",IF(AND(B292&gt;0,OR(H292="",H292&lt;=0)),"Qty missing or 0",IF(AND(J292="Existing",K292=""),"Existing ID missing",IF(AND(B292=Model!$B$8+1,COUNTIF(L292:Q292,"X")=0),"Not in any variant",IF(AND(NOT(B292=Model!$B$8+1),COUNTIF(L292:Q292,"X")&gt;0),"X outside configured item","OK"))))))</f>
        <v/>
      </c>
    </row>
    <row r="293" customFormat="false" ht="15" hidden="false" customHeight="false" outlineLevel="0" collapsed="false">
      <c r="A293" s="17" t="str">
        <f aca="false">IF(B293="","",ROW()-4)</f>
        <v/>
      </c>
      <c r="B293" s="18"/>
      <c r="C293" s="18"/>
      <c r="D293" s="18"/>
      <c r="E293" s="12"/>
      <c r="F293" s="18"/>
      <c r="G293" s="18"/>
      <c r="H293" s="18"/>
      <c r="I293" s="18"/>
      <c r="J293" s="18"/>
      <c r="K293" s="18"/>
      <c r="L293" s="19"/>
      <c r="M293" s="19"/>
      <c r="N293" s="19"/>
      <c r="O293" s="19"/>
      <c r="P293" s="19"/>
      <c r="Q293" s="19"/>
      <c r="R293" s="6" t="str">
        <f aca="false">IF(B293="","",IF(COUNTIF(L293:Q293,"X")=0,"",IF(COUNTIF(L293:Q293,"X")=COUNTA(Model!$B$12:$B$17),"ALL",_xlfn.TEXTJOIN(", ",TRUE(),IF(L293="X",L$4,""),IF(M293="X",M$4,""),IF(N293="X",N$4,""),IF(O293="X",O$4,""),IF(P293="X",P$4,""),IF(Q293="X",Q$4,"")))))</f>
        <v/>
      </c>
      <c r="S293" s="6" t="str">
        <f aca="false">IF(B293="","",IF(B293&gt;B292+1,"Level skips a step",IF(AND(B293&gt;0,OR(H293="",H293&lt;=0)),"Qty missing or 0",IF(AND(J293="Existing",K293=""),"Existing ID missing",IF(AND(B293=Model!$B$8+1,COUNTIF(L293:Q293,"X")=0),"Not in any variant",IF(AND(NOT(B293=Model!$B$8+1),COUNTIF(L293:Q293,"X")&gt;0),"X outside configured item","OK"))))))</f>
        <v/>
      </c>
    </row>
    <row r="294" customFormat="false" ht="15" hidden="false" customHeight="false" outlineLevel="0" collapsed="false">
      <c r="A294" s="17" t="str">
        <f aca="false">IF(B294="","",ROW()-4)</f>
        <v/>
      </c>
      <c r="B294" s="18"/>
      <c r="C294" s="18"/>
      <c r="D294" s="18"/>
      <c r="E294" s="12"/>
      <c r="F294" s="18"/>
      <c r="G294" s="18"/>
      <c r="H294" s="18"/>
      <c r="I294" s="18"/>
      <c r="J294" s="18"/>
      <c r="K294" s="18"/>
      <c r="L294" s="19"/>
      <c r="M294" s="19"/>
      <c r="N294" s="19"/>
      <c r="O294" s="19"/>
      <c r="P294" s="19"/>
      <c r="Q294" s="19"/>
      <c r="R294" s="6" t="str">
        <f aca="false">IF(B294="","",IF(COUNTIF(L294:Q294,"X")=0,"",IF(COUNTIF(L294:Q294,"X")=COUNTA(Model!$B$12:$B$17),"ALL",_xlfn.TEXTJOIN(", ",TRUE(),IF(L294="X",L$4,""),IF(M294="X",M$4,""),IF(N294="X",N$4,""),IF(O294="X",O$4,""),IF(P294="X",P$4,""),IF(Q294="X",Q$4,"")))))</f>
        <v/>
      </c>
      <c r="S294" s="6" t="str">
        <f aca="false">IF(B294="","",IF(B294&gt;B293+1,"Level skips a step",IF(AND(B294&gt;0,OR(H294="",H294&lt;=0)),"Qty missing or 0",IF(AND(J294="Existing",K294=""),"Existing ID missing",IF(AND(B294=Model!$B$8+1,COUNTIF(L294:Q294,"X")=0),"Not in any variant",IF(AND(NOT(B294=Model!$B$8+1),COUNTIF(L294:Q294,"X")&gt;0),"X outside configured item","OK"))))))</f>
        <v/>
      </c>
    </row>
    <row r="295" customFormat="false" ht="15" hidden="false" customHeight="false" outlineLevel="0" collapsed="false">
      <c r="A295" s="17" t="str">
        <f aca="false">IF(B295="","",ROW()-4)</f>
        <v/>
      </c>
      <c r="B295" s="18"/>
      <c r="C295" s="18"/>
      <c r="D295" s="18"/>
      <c r="E295" s="12"/>
      <c r="F295" s="18"/>
      <c r="G295" s="18"/>
      <c r="H295" s="18"/>
      <c r="I295" s="18"/>
      <c r="J295" s="18"/>
      <c r="K295" s="18"/>
      <c r="L295" s="19"/>
      <c r="M295" s="19"/>
      <c r="N295" s="19"/>
      <c r="O295" s="19"/>
      <c r="P295" s="19"/>
      <c r="Q295" s="19"/>
      <c r="R295" s="6" t="str">
        <f aca="false">IF(B295="","",IF(COUNTIF(L295:Q295,"X")=0,"",IF(COUNTIF(L295:Q295,"X")=COUNTA(Model!$B$12:$B$17),"ALL",_xlfn.TEXTJOIN(", ",TRUE(),IF(L295="X",L$4,""),IF(M295="X",M$4,""),IF(N295="X",N$4,""),IF(O295="X",O$4,""),IF(P295="X",P$4,""),IF(Q295="X",Q$4,"")))))</f>
        <v/>
      </c>
      <c r="S295" s="6" t="str">
        <f aca="false">IF(B295="","",IF(B295&gt;B294+1,"Level skips a step",IF(AND(B295&gt;0,OR(H295="",H295&lt;=0)),"Qty missing or 0",IF(AND(J295="Existing",K295=""),"Existing ID missing",IF(AND(B295=Model!$B$8+1,COUNTIF(L295:Q295,"X")=0),"Not in any variant",IF(AND(NOT(B295=Model!$B$8+1),COUNTIF(L295:Q295,"X")&gt;0),"X outside configured item","OK"))))))</f>
        <v/>
      </c>
    </row>
    <row r="296" customFormat="false" ht="15" hidden="false" customHeight="false" outlineLevel="0" collapsed="false">
      <c r="A296" s="17" t="str">
        <f aca="false">IF(B296="","",ROW()-4)</f>
        <v/>
      </c>
      <c r="B296" s="18"/>
      <c r="C296" s="18"/>
      <c r="D296" s="18"/>
      <c r="E296" s="12"/>
      <c r="F296" s="18"/>
      <c r="G296" s="18"/>
      <c r="H296" s="18"/>
      <c r="I296" s="18"/>
      <c r="J296" s="18"/>
      <c r="K296" s="18"/>
      <c r="L296" s="19"/>
      <c r="M296" s="19"/>
      <c r="N296" s="19"/>
      <c r="O296" s="19"/>
      <c r="P296" s="19"/>
      <c r="Q296" s="19"/>
      <c r="R296" s="6" t="str">
        <f aca="false">IF(B296="","",IF(COUNTIF(L296:Q296,"X")=0,"",IF(COUNTIF(L296:Q296,"X")=COUNTA(Model!$B$12:$B$17),"ALL",_xlfn.TEXTJOIN(", ",TRUE(),IF(L296="X",L$4,""),IF(M296="X",M$4,""),IF(N296="X",N$4,""),IF(O296="X",O$4,""),IF(P296="X",P$4,""),IF(Q296="X",Q$4,"")))))</f>
        <v/>
      </c>
      <c r="S296" s="6" t="str">
        <f aca="false">IF(B296="","",IF(B296&gt;B295+1,"Level skips a step",IF(AND(B296&gt;0,OR(H296="",H296&lt;=0)),"Qty missing or 0",IF(AND(J296="Existing",K296=""),"Existing ID missing",IF(AND(B296=Model!$B$8+1,COUNTIF(L296:Q296,"X")=0),"Not in any variant",IF(AND(NOT(B296=Model!$B$8+1),COUNTIF(L296:Q296,"X")&gt;0),"X outside configured item","OK"))))))</f>
        <v/>
      </c>
    </row>
    <row r="297" customFormat="false" ht="15" hidden="false" customHeight="false" outlineLevel="0" collapsed="false">
      <c r="A297" s="17" t="str">
        <f aca="false">IF(B297="","",ROW()-4)</f>
        <v/>
      </c>
      <c r="B297" s="18"/>
      <c r="C297" s="18"/>
      <c r="D297" s="18"/>
      <c r="E297" s="12"/>
      <c r="F297" s="18"/>
      <c r="G297" s="18"/>
      <c r="H297" s="18"/>
      <c r="I297" s="18"/>
      <c r="J297" s="18"/>
      <c r="K297" s="18"/>
      <c r="L297" s="19"/>
      <c r="M297" s="19"/>
      <c r="N297" s="19"/>
      <c r="O297" s="19"/>
      <c r="P297" s="19"/>
      <c r="Q297" s="19"/>
      <c r="R297" s="6" t="str">
        <f aca="false">IF(B297="","",IF(COUNTIF(L297:Q297,"X")=0,"",IF(COUNTIF(L297:Q297,"X")=COUNTA(Model!$B$12:$B$17),"ALL",_xlfn.TEXTJOIN(", ",TRUE(),IF(L297="X",L$4,""),IF(M297="X",M$4,""),IF(N297="X",N$4,""),IF(O297="X",O$4,""),IF(P297="X",P$4,""),IF(Q297="X",Q$4,"")))))</f>
        <v/>
      </c>
      <c r="S297" s="6" t="str">
        <f aca="false">IF(B297="","",IF(B297&gt;B296+1,"Level skips a step",IF(AND(B297&gt;0,OR(H297="",H297&lt;=0)),"Qty missing or 0",IF(AND(J297="Existing",K297=""),"Existing ID missing",IF(AND(B297=Model!$B$8+1,COUNTIF(L297:Q297,"X")=0),"Not in any variant",IF(AND(NOT(B297=Model!$B$8+1),COUNTIF(L297:Q297,"X")&gt;0),"X outside configured item","OK"))))))</f>
        <v/>
      </c>
    </row>
    <row r="298" customFormat="false" ht="15" hidden="false" customHeight="false" outlineLevel="0" collapsed="false">
      <c r="A298" s="17" t="str">
        <f aca="false">IF(B298="","",ROW()-4)</f>
        <v/>
      </c>
      <c r="B298" s="18"/>
      <c r="C298" s="18"/>
      <c r="D298" s="18"/>
      <c r="E298" s="12"/>
      <c r="F298" s="18"/>
      <c r="G298" s="18"/>
      <c r="H298" s="18"/>
      <c r="I298" s="18"/>
      <c r="J298" s="18"/>
      <c r="K298" s="18"/>
      <c r="L298" s="19"/>
      <c r="M298" s="19"/>
      <c r="N298" s="19"/>
      <c r="O298" s="19"/>
      <c r="P298" s="19"/>
      <c r="Q298" s="19"/>
      <c r="R298" s="6" t="str">
        <f aca="false">IF(B298="","",IF(COUNTIF(L298:Q298,"X")=0,"",IF(COUNTIF(L298:Q298,"X")=COUNTA(Model!$B$12:$B$17),"ALL",_xlfn.TEXTJOIN(", ",TRUE(),IF(L298="X",L$4,""),IF(M298="X",M$4,""),IF(N298="X",N$4,""),IF(O298="X",O$4,""),IF(P298="X",P$4,""),IF(Q298="X",Q$4,"")))))</f>
        <v/>
      </c>
      <c r="S298" s="6" t="str">
        <f aca="false">IF(B298="","",IF(B298&gt;B297+1,"Level skips a step",IF(AND(B298&gt;0,OR(H298="",H298&lt;=0)),"Qty missing or 0",IF(AND(J298="Existing",K298=""),"Existing ID missing",IF(AND(B298=Model!$B$8+1,COUNTIF(L298:Q298,"X")=0),"Not in any variant",IF(AND(NOT(B298=Model!$B$8+1),COUNTIF(L298:Q298,"X")&gt;0),"X outside configured item","OK"))))))</f>
        <v/>
      </c>
    </row>
    <row r="299" customFormat="false" ht="15" hidden="false" customHeight="false" outlineLevel="0" collapsed="false">
      <c r="A299" s="17" t="str">
        <f aca="false">IF(B299="","",ROW()-4)</f>
        <v/>
      </c>
      <c r="B299" s="18"/>
      <c r="C299" s="18"/>
      <c r="D299" s="18"/>
      <c r="E299" s="12"/>
      <c r="F299" s="18"/>
      <c r="G299" s="18"/>
      <c r="H299" s="18"/>
      <c r="I299" s="18"/>
      <c r="J299" s="18"/>
      <c r="K299" s="18"/>
      <c r="L299" s="19"/>
      <c r="M299" s="19"/>
      <c r="N299" s="19"/>
      <c r="O299" s="19"/>
      <c r="P299" s="19"/>
      <c r="Q299" s="19"/>
      <c r="R299" s="6" t="str">
        <f aca="false">IF(B299="","",IF(COUNTIF(L299:Q299,"X")=0,"",IF(COUNTIF(L299:Q299,"X")=COUNTA(Model!$B$12:$B$17),"ALL",_xlfn.TEXTJOIN(", ",TRUE(),IF(L299="X",L$4,""),IF(M299="X",M$4,""),IF(N299="X",N$4,""),IF(O299="X",O$4,""),IF(P299="X",P$4,""),IF(Q299="X",Q$4,"")))))</f>
        <v/>
      </c>
      <c r="S299" s="6" t="str">
        <f aca="false">IF(B299="","",IF(B299&gt;B298+1,"Level skips a step",IF(AND(B299&gt;0,OR(H299="",H299&lt;=0)),"Qty missing or 0",IF(AND(J299="Existing",K299=""),"Existing ID missing",IF(AND(B299=Model!$B$8+1,COUNTIF(L299:Q299,"X")=0),"Not in any variant",IF(AND(NOT(B299=Model!$B$8+1),COUNTIF(L299:Q299,"X")&gt;0),"X outside configured item","OK"))))))</f>
        <v/>
      </c>
    </row>
    <row r="300" customFormat="false" ht="15" hidden="false" customHeight="false" outlineLevel="0" collapsed="false">
      <c r="A300" s="17" t="str">
        <f aca="false">IF(B300="","",ROW()-4)</f>
        <v/>
      </c>
      <c r="B300" s="18"/>
      <c r="C300" s="18"/>
      <c r="D300" s="18"/>
      <c r="E300" s="12"/>
      <c r="F300" s="18"/>
      <c r="G300" s="18"/>
      <c r="H300" s="18"/>
      <c r="I300" s="18"/>
      <c r="J300" s="18"/>
      <c r="K300" s="18"/>
      <c r="L300" s="19"/>
      <c r="M300" s="19"/>
      <c r="N300" s="19"/>
      <c r="O300" s="19"/>
      <c r="P300" s="19"/>
      <c r="Q300" s="19"/>
      <c r="R300" s="6" t="str">
        <f aca="false">IF(B300="","",IF(COUNTIF(L300:Q300,"X")=0,"",IF(COUNTIF(L300:Q300,"X")=COUNTA(Model!$B$12:$B$17),"ALL",_xlfn.TEXTJOIN(", ",TRUE(),IF(L300="X",L$4,""),IF(M300="X",M$4,""),IF(N300="X",N$4,""),IF(O300="X",O$4,""),IF(P300="X",P$4,""),IF(Q300="X",Q$4,"")))))</f>
        <v/>
      </c>
      <c r="S300" s="6" t="str">
        <f aca="false">IF(B300="","",IF(B300&gt;B299+1,"Level skips a step",IF(AND(B300&gt;0,OR(H300="",H300&lt;=0)),"Qty missing or 0",IF(AND(J300="Existing",K300=""),"Existing ID missing",IF(AND(B300=Model!$B$8+1,COUNTIF(L300:Q300,"X")=0),"Not in any variant",IF(AND(NOT(B300=Model!$B$8+1),COUNTIF(L300:Q300,"X")&gt;0),"X outside configured item","OK"))))))</f>
        <v/>
      </c>
    </row>
  </sheetData>
  <mergeCells count="1">
    <mergeCell ref="L3:Q3"/>
  </mergeCells>
  <conditionalFormatting sqref="S5:S300">
    <cfRule type="expression" priority="2" aboveAverage="0" equalAverage="0" bottom="0" percent="0" rank="0" text="" dxfId="0">
      <formula>AND(S5&lt;&gt;"",S5&lt;&gt;"OK")</formula>
    </cfRule>
  </conditionalFormatting>
  <dataValidations count="5">
    <dataValidation allowBlank="true" errorStyle="stop" operator="between" showDropDown="false" showErrorMessage="false" showInputMessage="false" sqref="F5:F300" type="list">
      <formula1>Lists!$A$1:$A$4</formula1>
      <formula2>0</formula2>
    </dataValidation>
    <dataValidation allowBlank="true" errorStyle="stop" operator="between" showDropDown="false" showErrorMessage="false" showInputMessage="false" sqref="J5:J300" type="list">
      <formula1>Lists!$B$1:$B$2</formula1>
      <formula2>0</formula2>
    </dataValidation>
    <dataValidation allowBlank="true" errorStyle="stop" operator="between" showDropDown="false" showErrorMessage="false" showInputMessage="false" sqref="G5:G300" type="list">
      <formula1>Lists!$C$1:$C$8</formula1>
      <formula2>0</formula2>
    </dataValidation>
    <dataValidation allowBlank="true" errorStyle="stop" operator="between" showDropDown="false" showErrorMessage="false" showInputMessage="false" sqref="L5:Q300" type="list">
      <formula1>"X"</formula1>
      <formula2>0</formula2>
    </dataValidation>
    <dataValidation allowBlank="true" errorStyle="stop" operator="between" showDropDown="false" showErrorMessage="false" showInputMessage="false" sqref="B5:B300" type="whole">
      <formula1>0</formula1>
      <formula2>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77</v>
      </c>
      <c r="B1" s="0" t="s">
        <v>79</v>
      </c>
      <c r="C1" s="0" t="s">
        <v>78</v>
      </c>
    </row>
    <row r="2" customFormat="false" ht="15" hidden="false" customHeight="false" outlineLevel="0" collapsed="false">
      <c r="A2" s="0" t="s">
        <v>83</v>
      </c>
      <c r="B2" s="0" t="s">
        <v>89</v>
      </c>
      <c r="C2" s="0" t="s">
        <v>90</v>
      </c>
    </row>
    <row r="3" customFormat="false" ht="15" hidden="false" customHeight="false" outlineLevel="0" collapsed="false">
      <c r="A3" s="0" t="s">
        <v>91</v>
      </c>
      <c r="C3" s="0" t="s">
        <v>92</v>
      </c>
    </row>
    <row r="4" customFormat="false" ht="15" hidden="false" customHeight="false" outlineLevel="0" collapsed="false">
      <c r="A4" s="0" t="s">
        <v>93</v>
      </c>
      <c r="C4" s="0" t="s">
        <v>94</v>
      </c>
    </row>
    <row r="5" customFormat="false" ht="15" hidden="false" customHeight="false" outlineLevel="0" collapsed="false">
      <c r="C5" s="0" t="s">
        <v>95</v>
      </c>
    </row>
    <row r="6" customFormat="false" ht="15" hidden="false" customHeight="false" outlineLevel="0" collapsed="false">
      <c r="C6" s="0" t="s">
        <v>96</v>
      </c>
    </row>
    <row r="7" customFormat="false" ht="15" hidden="false" customHeight="false" outlineLevel="0" collapsed="false">
      <c r="C7" s="0" t="s">
        <v>97</v>
      </c>
    </row>
    <row r="8" customFormat="false" ht="15" hidden="false" customHeight="false" outlineLevel="0" collapsed="false">
      <c r="C8" s="0" t="s">
        <v>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2026-10-16T16:29:53Z</dcterms:created>
  <dc:creator>openpyxl</dc:creator>
  <dc:description/>
  <dc:language>en-US</dc:language>
  <cp:lastModifiedBy/>
  <dcterms:modified xsi:type="dcterms:W3CDTF">2026-10-16T16:29:53Z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